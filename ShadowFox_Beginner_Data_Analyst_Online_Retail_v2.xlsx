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rap\Downloads\"/>
    </mc:Choice>
  </mc:AlternateContent>
  <xr:revisionPtr revIDLastSave="0" documentId="13_ncr:1_{B96940AB-E384-4BF6-B40F-1201F1FDD2A9}" xr6:coauthVersionLast="47" xr6:coauthVersionMax="47" xr10:uidLastSave="{00000000-0000-0000-0000-000000000000}"/>
  <bookViews>
    <workbookView xWindow="-120" yWindow="-120" windowWidth="20730" windowHeight="11040" activeTab="9" xr2:uid="{00000000-000D-0000-FFFF-FFFF00000000}"/>
  </bookViews>
  <sheets>
    <sheet name="Raw_Data" sheetId="1" r:id="rId1"/>
    <sheet name="Cleaned_Data" sheetId="2" r:id="rId2"/>
    <sheet name="Cleaning_Log" sheetId="8" r:id="rId3"/>
    <sheet name="KPI_Summary" sheetId="3" r:id="rId4"/>
    <sheet name="Monthly_Trend" sheetId="4" r:id="rId5"/>
    <sheet name="Product_Analysis" sheetId="5" r:id="rId6"/>
    <sheet name="Country_Analysis" sheetId="6" r:id="rId7"/>
    <sheet name="Quarterly_Analysis" sheetId="7" r:id="rId8"/>
    <sheet name="Business_Insights" sheetId="9" r:id="rId9"/>
    <sheet name="Dashboard" sheetId="10" r:id="rId10"/>
  </sheets>
  <calcPr calcId="191029" forceFullCalc="1"/>
</workbook>
</file>

<file path=xl/calcChain.xml><?xml version="1.0" encoding="utf-8"?>
<calcChain xmlns="http://schemas.openxmlformats.org/spreadsheetml/2006/main">
  <c r="C7" i="7" l="1"/>
  <c r="C6" i="7"/>
  <c r="C5" i="7"/>
  <c r="C4" i="7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</calcChain>
</file>

<file path=xl/sharedStrings.xml><?xml version="1.0" encoding="utf-8"?>
<sst xmlns="http://schemas.openxmlformats.org/spreadsheetml/2006/main" count="689" uniqueCount="269">
  <si>
    <t>RAW DATA – UCI ONLINE RETAIL TRANSACTION EXTRACT</t>
  </si>
  <si>
    <t>Source-style transaction extract. No derived revenue/month/flags are added here.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</si>
  <si>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</si>
  <si>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</si>
  <si>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</si>
  <si>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</si>
  <si>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</si>
  <si>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</si>
  <si>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</si>
  <si>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</si>
  <si>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536365</t>
  </si>
  <si>
    <t>85123A</t>
  </si>
  <si>
    <t>WHITE HANGING HEART T-LIGHT HOLDER</t>
  </si>
  <si>
    <t>2010-12-01 08:26:00</t>
  </si>
  <si>
    <t>17850</t>
  </si>
  <si>
    <t>United Kingdom</t>
  </si>
  <si>
    <t>71053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</si>
  <si>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</si>
  <si>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</si>
  <si>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</si>
  <si>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</si>
  <si>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</si>
  <si>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</si>
  <si>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</si>
  <si>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22752</t>
  </si>
  <si>
    <t>SET 7 BABUSHKA NESTING BOXES</t>
  </si>
  <si>
    <t>21730</t>
  </si>
  <si>
    <t>GLASS STAR FROSTED T-LIGHT HOLDER</t>
  </si>
  <si>
    <t>536366</t>
  </si>
  <si>
    <t>22633</t>
  </si>
  <si>
    <t>HAND WARMER UNION JACK</t>
  </si>
  <si>
    <t>2010-12-01 08:28:00</t>
  </si>
  <si>
    <t>22632</t>
  </si>
  <si>
    <t>HAND WARMER RED POLKA DOT</t>
  </si>
  <si>
    <t>536367</t>
  </si>
  <si>
    <t>84879</t>
  </si>
  <si>
    <t>ASSORTED COLOUR BIRD ORNAMENT</t>
  </si>
  <si>
    <t>2010-12-01 08:34:00</t>
  </si>
  <si>
    <t>13047</t>
  </si>
  <si>
    <t>22745</t>
  </si>
  <si>
    <t>POPPY'S PLAYHOUSE BEDROOM</t>
  </si>
  <si>
    <t>22748</t>
  </si>
  <si>
    <t>POPPY'S PLAYHOUSE KITCHEN</t>
  </si>
  <si>
    <t>22749</t>
  </si>
  <si>
    <t>FELTCRAFT PRINCESS CHARLOTTE DOLL</t>
  </si>
  <si>
    <t>22310</t>
  </si>
  <si>
    <t>IVORY KNITTED MUG COSY</t>
  </si>
  <si>
    <t>84969</t>
  </si>
  <si>
    <t>BOX OF 6 ASSORTED COLOUR TEASPOONS</t>
  </si>
  <si>
    <t>22623</t>
  </si>
  <si>
    <t>BOX OF VINTAGE JIGSAW BLOCKS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</si>
  <si>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</si>
  <si>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</si>
  <si>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</si>
  <si>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</si>
  <si>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</si>
  <si>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</si>
  <si>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</si>
  <si>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</si>
  <si>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</si>
  <si>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</si>
  <si>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536368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</si>
  <si>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</si>
  <si>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</si>
  <si>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</si>
  <si>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</si>
  <si>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</si>
  <si>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</si>
  <si>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</si>
  <si>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</si>
  <si>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536369</t>
  </si>
  <si>
    <t>21756</t>
  </si>
  <si>
    <t>BATH BUILDING BLOCK WORD</t>
  </si>
  <si>
    <t>2010-12-01 08:35:00</t>
  </si>
  <si>
    <t>536370</t>
  </si>
  <si>
    <t>22728</t>
  </si>
  <si>
    <t>ALARM CLOCK BAKELIKE PINK</t>
  </si>
  <si>
    <t>2010-12-01 08:45:00</t>
  </si>
  <si>
    <t>12583</t>
  </si>
  <si>
    <t>France</t>
  </si>
  <si>
    <t>22727</t>
  </si>
  <si>
    <t>ALARM CLOCK BAKELIKE RED</t>
  </si>
  <si>
    <t>22726</t>
  </si>
  <si>
    <t>ALARM CLOCK BAKELIKE GREEN</t>
  </si>
  <si>
    <t>CLEANED &amp; ORGANIZED DATA</t>
  </si>
  <si>
    <t>CLEANED DATA: values are populated directly from Raw_Data; derived fields Revenue, Month and transaction flags have been calculated.</t>
  </si>
  <si>
    <t>Revenue</t>
  </si>
  <si>
    <t>Month</t>
  </si>
  <si>
    <t>Transaction_Type</t>
  </si>
  <si>
    <t>Is_Cancelled</t>
  </si>
  <si>
    <t>Is_Return</t>
  </si>
  <si>
    <t>2010-12</t>
  </si>
  <si>
    <t>Sale</t>
  </si>
  <si>
    <t>No</t>
  </si>
  <si>
    <t>KEY SUMMARY METRICS – FULL UCI DATASET</t>
  </si>
  <si>
    <t>Metric</t>
  </si>
  <si>
    <t>Value</t>
  </si>
  <si>
    <t>Definition</t>
  </si>
  <si>
    <t>Raw transaction rows</t>
  </si>
  <si>
    <t>Complete UCI dataset size</t>
  </si>
  <si>
    <t>Unique invoices</t>
  </si>
  <si>
    <t>Distinct transaction baskets</t>
  </si>
  <si>
    <t>Unique customers</t>
  </si>
  <si>
    <t>Known customer IDs</t>
  </si>
  <si>
    <t>Countries</t>
  </si>
  <si>
    <t>Customer residence countries</t>
  </si>
  <si>
    <t>Gross line revenue</t>
  </si>
  <si>
    <t>Quantity × UnitPrice across raw records</t>
  </si>
  <si>
    <t>Average revenue / invoice</t>
  </si>
  <si>
    <t>Gross revenue ÷ unique invoices</t>
  </si>
  <si>
    <t>Date range start</t>
  </si>
  <si>
    <t>Dataset coverage</t>
  </si>
  <si>
    <t>Date range end</t>
  </si>
  <si>
    <t>What the numbers tell us</t>
  </si>
  <si>
    <t>The dataset is large enough for meaningful retail trend and segmentation analysis.</t>
  </si>
  <si>
    <t>Revenue is heavily concentrated in the United Kingdom.</t>
  </si>
  <si>
    <t>Late-year demand is substantially stronger, with November as the peak month.</t>
  </si>
  <si>
    <t>Product and service-line revenue should be interpreted separately.</t>
  </si>
  <si>
    <t>MONTHLY REVENUE &amp; TREND ANALYSIS</t>
  </si>
  <si>
    <t>Revenue (£)</t>
  </si>
  <si>
    <t>MoM Change (£)</t>
  </si>
  <si>
    <t>MoM Change (%)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</si>
  <si>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</si>
  <si>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</si>
  <si>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</si>
  <si>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</si>
  <si>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</si>
  <si>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</si>
  <si>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</si>
  <si>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</si>
  <si>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</si>
  <si>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</si>
  <si>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</si>
  <si>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</si>
  <si>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Business interpretation</t>
  </si>
  <si>
    <t>November 2011 is the peak month at approximately £1.46M.</t>
  </si>
  <si>
    <t>Revenue accelerates sharply from September through November.</t>
  </si>
  <si>
    <t>December is only a partial month in the source data, so its lower value should not be interpreted as a full-month collapse.</t>
  </si>
  <si>
    <t>TOP PRODUCTS / ITEMS BY REVENUE</t>
  </si>
  <si>
    <t>Rank</t>
  </si>
  <si>
    <t>Product</t>
  </si>
  <si>
    <t>DOT</t>
  </si>
  <si>
    <t>DOTCOM POSTAGE</t>
  </si>
  <si>
    <t>22423</t>
  </si>
  <si>
    <t>REGENCY CAKESTAND 3 TIER</t>
  </si>
  <si>
    <t>47566</t>
  </si>
  <si>
    <t>PARTY BUNTING</t>
  </si>
  <si>
    <t>85099B</t>
  </si>
  <si>
    <t>JUMBO BAG RED RETROSPOT</t>
  </si>
  <si>
    <t>23084</t>
  </si>
  <si>
    <t>RABBIT NIGHT LIGHT</t>
  </si>
  <si>
    <t>POST</t>
  </si>
  <si>
    <t>POSTAGE</t>
  </si>
  <si>
    <t>22086</t>
  </si>
  <si>
    <t>PAPER CHAIN KIT 50'S CHRISTMAS</t>
  </si>
  <si>
    <t>79321</t>
  </si>
  <si>
    <t>CHILLI LIGHTS</t>
  </si>
  <si>
    <t>REGENCY CAKESTAND 3 TIER is the leading physical merchandise item by revenue in this summary.</t>
  </si>
  <si>
    <t>DOTCOM POSTAGE and POSTAGE are service/logistics lines and should not be treated as merchandise products.</t>
  </si>
  <si>
    <t>Gift, home décor and seasonal items are prominent among the leading merchandise lines.</t>
  </si>
  <si>
    <t>TOP COUNTRIES BY SALES VALUE</t>
  </si>
  <si>
    <t>Netherlands</t>
  </si>
  <si>
    <t>EIRE</t>
  </si>
  <si>
    <t>Germany</t>
  </si>
  <si>
    <t>Australia</t>
  </si>
  <si>
    <t>Switzerland</t>
  </si>
  <si>
    <t>Spain</t>
  </si>
  <si>
    <t>Belgium</t>
  </si>
  <si>
    <t>Sweden</t>
  </si>
  <si>
    <t>The United Kingdom is the dominant market by a very large margin.</t>
  </si>
  <si>
    <t>Netherlands, EIRE, Germany and France are the next strongest international markets.</t>
  </si>
  <si>
    <t>International demand creates a potential localization and expansion opportunity.</t>
  </si>
  <si>
    <t>QUARTERLY SALES SUMMARY</t>
  </si>
  <si>
    <t>Quarter</t>
  </si>
  <si>
    <t>Share of Q1–Q4 Total</t>
  </si>
  <si>
    <t>Q1</t>
  </si>
  <si>
    <t>Q2</t>
  </si>
  <si>
    <t>Q3</t>
  </si>
  <si>
    <t>Q4</t>
  </si>
  <si>
    <t>DATA CLEANING &amp; PREPARATION LOG</t>
  </si>
  <si>
    <t>Step</t>
  </si>
  <si>
    <t>Check / Action</t>
  </si>
  <si>
    <t>Decision</t>
  </si>
  <si>
    <t>Why it matters</t>
  </si>
  <si>
    <t>Business impact</t>
  </si>
  <si>
    <t>1</t>
  </si>
  <si>
    <t>Preserve original fields</t>
  </si>
  <si>
    <t>Raw_Data remains untouched</t>
  </si>
  <si>
    <t>Maintains audit trail</t>
  </si>
  <si>
    <t>Easy to compare source vs cleaned data</t>
  </si>
  <si>
    <t>2</t>
  </si>
  <si>
    <t>Convert InvoiceDate to datetime</t>
  </si>
  <si>
    <t>Create true Excel date/time</t>
  </si>
  <si>
    <t>Enables correct sorting and grouping</t>
  </si>
  <si>
    <t>Supports monthly/quarterly trends</t>
  </si>
  <si>
    <t>3</t>
  </si>
  <si>
    <t>Treat IDs as identifiers</t>
  </si>
  <si>
    <t>Keep InvoiceNo, StockCode, CustomerID as text</t>
  </si>
  <si>
    <t>IDs are labels, not measures</t>
  </si>
  <si>
    <t>Prevents incorrect aggregation</t>
  </si>
  <si>
    <t>4</t>
  </si>
  <si>
    <t>Create Revenue</t>
  </si>
  <si>
    <t>Quantity × UnitPrice</t>
  </si>
  <si>
    <t>Creates common sales-value metric</t>
  </si>
  <si>
    <t>Supports KPI and product analysis</t>
  </si>
  <si>
    <t>5</t>
  </si>
  <si>
    <t>Create Month</t>
  </si>
  <si>
    <t>yyyy-mm from InvoiceDate</t>
  </si>
  <si>
    <t>Simplifies trend grouping</t>
  </si>
  <si>
    <t>Supports monthly dashboard</t>
  </si>
  <si>
    <t>6</t>
  </si>
  <si>
    <t>Flag cancellations</t>
  </si>
  <si>
    <t>InvoiceNo starting with C</t>
  </si>
  <si>
    <t>Cancellation is an operational event</t>
  </si>
  <si>
    <t>Allows exception monitoring</t>
  </si>
  <si>
    <t>7</t>
  </si>
  <si>
    <t>Flag returns</t>
  </si>
  <si>
    <t>Quantity &lt; 0</t>
  </si>
  <si>
    <t>Returns are meaningful retail events</t>
  </si>
  <si>
    <t>Prevents treating returns as normal sales</t>
  </si>
  <si>
    <t>8</t>
  </si>
  <si>
    <t>Handle missing CustomerID</t>
  </si>
  <si>
    <t>Retain transaction rows</t>
  </si>
  <si>
    <t>Dropping them could bias sales analysis</t>
  </si>
  <si>
    <t>Transaction totals remain complete</t>
  </si>
  <si>
    <t>9</t>
  </si>
  <si>
    <t>Separate service lines</t>
  </si>
  <si>
    <t>Postage identified in product analysis</t>
  </si>
  <si>
    <t>Postage can distort merchandise rankings</t>
  </si>
  <si>
    <t>Better product decisions</t>
  </si>
  <si>
    <t>BUSINESS OBSERVATIONS &amp; CONCLUSIONS</t>
  </si>
  <si>
    <t>Area</t>
  </si>
  <si>
    <t>Observation</t>
  </si>
  <si>
    <t>Evidence</t>
  </si>
  <si>
    <t>Business meaning</t>
  </si>
  <si>
    <t>Recommended action</t>
  </si>
  <si>
    <t>Priority</t>
  </si>
  <si>
    <t>Seasonality</t>
  </si>
  <si>
    <t>November is the strongest month</t>
  </si>
  <si>
    <t>~£1.46M</t>
  </si>
  <si>
    <t>Holiday demand is important</t>
  </si>
  <si>
    <t>Plan inventory, staffing and promotions before Q4</t>
  </si>
  <si>
    <t>High</t>
  </si>
  <si>
    <t>Market concentration</t>
  </si>
  <si>
    <t>UK dominates revenue</t>
  </si>
  <si>
    <t>~£8.19M in top-country table</t>
  </si>
  <si>
    <t>Business depends heavily on one market</t>
  </si>
  <si>
    <t>Develop targeted international campaigns</t>
  </si>
  <si>
    <t>Product mix</t>
  </si>
  <si>
    <t>Gift/home décor items lead merchandise</t>
  </si>
  <si>
    <t>Cake stand, bunting, décor items in top list</t>
  </si>
  <si>
    <t>Gifting and seasonal demand matter</t>
  </si>
  <si>
    <t>Protect stock and create bundles</t>
  </si>
  <si>
    <t>Service-line distortion</t>
  </si>
  <si>
    <t>Postage appears among top revenue lines</t>
  </si>
  <si>
    <t>DOTCOM POSTAGE / POSTAGE</t>
  </si>
  <si>
    <t>Not all revenue is merchandise</t>
  </si>
  <si>
    <t>Use merchandise-only product KPIs</t>
  </si>
  <si>
    <t>Medium</t>
  </si>
  <si>
    <t>Data quality</t>
  </si>
  <si>
    <t>Returns/cancellations need flags</t>
  </si>
  <si>
    <t>Negative quantities / cancellation IDs</t>
  </si>
  <si>
    <t>Naive sales analysis can be misleading</t>
  </si>
  <si>
    <t>Track exception transactions separately</t>
  </si>
  <si>
    <t>ONLINE RETAIL – EXECUTIVE DASHBOARD</t>
  </si>
  <si>
    <t>Total Revenue</t>
  </si>
  <si>
    <t>Invoices</t>
  </si>
  <si>
    <t>Customers</t>
  </si>
  <si>
    <t>KEY TAKEAWAYS
• November is the peak revenue month.
• UK is the dominant market.
• Gift/home décor drives major merchandise revenue.
• Separate postage from product KPIs.
• Monitor returns and cancellations.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</si>
</sst>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\ hh:mm"/>
    <numFmt numFmtId="165" formatCode="\£#,##0.00"/>
    <numFmt numFmtId="166" formatCode="dd\-mmm\-yyyy"/>
    <numFmt numFmtId="167" formatCode="0.0%"/>
    <numFmt numFmtId="168" formatCode="\£#,##0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2"/>
      <color rgb="FF17365D"/>
      <name val="Calibri"/>
    </font>
    <font>
      <b/>
      <sz val="20"/>
      <color rgb="FF17365D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E7D32"/>
      </patternFill>
    </fill>
    <fill>
      <patternFill patternType="solid">
        <fgColor rgb="FFA64AC9"/>
      </patternFill>
    </fill>
    <fill>
      <patternFill patternType="solid">
        <fgColor rgb="FFEADCF4"/>
      </patternFill>
    </fill>
  </fills>
  <borders count="11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/>
      <top/>
      <bottom/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165" fontId="0" fillId="0" borderId="1" xfId="0" applyNumberFormat="1" applyBorder="1"/>
    <xf numFmtId="0" fontId="4" fillId="4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165" fontId="5" fillId="0" borderId="1" xfId="0" applyNumberFormat="1" applyFont="1" applyBorder="1" applyAlignment="1">
      <alignment wrapText="1"/>
    </xf>
    <xf numFmtId="166" fontId="5" fillId="0" borderId="1" xfId="0" applyNumberFormat="1" applyFont="1" applyBorder="1" applyAlignment="1">
      <alignment wrapText="1"/>
    </xf>
    <xf numFmtId="167" fontId="0" fillId="0" borderId="1" xfId="0" applyNumberFormat="1" applyBorder="1"/>
    <xf numFmtId="0" fontId="3" fillId="3" borderId="0" xfId="0" applyFont="1" applyFill="1"/>
    <xf numFmtId="168" fontId="0" fillId="0" borderId="0" xfId="0" applyNumberFormat="1"/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3" fillId="5" borderId="0" xfId="0" applyFont="1" applyFill="1"/>
    <xf numFmtId="0" fontId="3" fillId="6" borderId="0" xfId="0" applyFont="1" applyFill="1"/>
    <xf numFmtId="0" fontId="3" fillId="6" borderId="1" xfId="0" applyFont="1" applyFill="1" applyBorder="1" applyAlignment="1">
      <alignment horizontal="center"/>
    </xf>
    <xf numFmtId="168" fontId="6" fillId="0" borderId="1" xfId="0" applyNumberFormat="1" applyFont="1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0" fillId="0" borderId="9" xfId="0" applyBorder="1"/>
    <xf numFmtId="3" fontId="6" fillId="0" borderId="1" xfId="0" applyNumberFormat="1" applyFont="1" applyBorder="1" applyAlignment="1">
      <alignment horizontal="center" vertical="center"/>
    </xf>
    <xf numFmtId="0" fontId="0" fillId="7" borderId="1" xfId="0" applyFill="1" applyBorder="1" applyAlignment="1">
      <alignment vertical="top" wrapText="1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Revenue (£)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Dashboard!$A$9:$A$21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Dashboard!$B$9:$B$21</c:f>
              <c:numCache>
                <c:formatCode>\£#,##0</c:formatCode>
                <c:ptCount val="13"/>
                <c:pt idx="0">
                  <c:v>748957.02</c:v>
                </c:pt>
                <c:pt idx="1">
                  <c:v>560000.26</c:v>
                </c:pt>
                <c:pt idx="2">
                  <c:v>498062.65</c:v>
                </c:pt>
                <c:pt idx="3">
                  <c:v>683267.08</c:v>
                </c:pt>
                <c:pt idx="4">
                  <c:v>493207.12</c:v>
                </c:pt>
                <c:pt idx="5">
                  <c:v>723333.51</c:v>
                </c:pt>
                <c:pt idx="6">
                  <c:v>691123.12</c:v>
                </c:pt>
                <c:pt idx="7">
                  <c:v>681300.11</c:v>
                </c:pt>
                <c:pt idx="8">
                  <c:v>682680.51</c:v>
                </c:pt>
                <c:pt idx="9">
                  <c:v>1019687.62</c:v>
                </c:pt>
                <c:pt idx="10">
                  <c:v>1070704.67</c:v>
                </c:pt>
                <c:pt idx="11">
                  <c:v>1461756.25</c:v>
                </c:pt>
                <c:pt idx="12">
                  <c:v>433668.01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66-46A4-868F-08E704B2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(£)</a:t>
                </a:r>
              </a:p>
            </c:rich>
          </c:tx>
          <c:overlay val="1"/>
        </c:title>
        <c:numFmt formatCode="\£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7 Products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Dashboard!$E$8</c:f>
              <c:strCache>
                <c:ptCount val="1"/>
                <c:pt idx="0">
                  <c:v>Revenue (£)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Dashboard!$D$9:$D$15</c:f>
              <c:strCache>
                <c:ptCount val="7"/>
                <c:pt idx="0">
                  <c:v>DOTCOM POSTAGE</c:v>
                </c:pt>
                <c:pt idx="1">
                  <c:v>REGENCY CAKESTAND 3 TIER</c:v>
                </c:pt>
                <c:pt idx="2">
                  <c:v>PARTY BUNTING</c:v>
                </c:pt>
                <c:pt idx="3">
                  <c:v>WHITE HANGING HEART T-LIGHT HOLDER</c:v>
                </c:pt>
                <c:pt idx="4">
                  <c:v>JUMBO BAG RED RETROSPOT</c:v>
                </c:pt>
                <c:pt idx="5">
                  <c:v>RABBIT NIGHT LIGHT</c:v>
                </c:pt>
                <c:pt idx="6">
                  <c:v>POSTAGE</c:v>
                </c:pt>
              </c:strCache>
            </c:strRef>
          </c:cat>
          <c:val>
            <c:numRef>
              <c:f>Dashboard!$E$9:$E$15</c:f>
              <c:numCache>
                <c:formatCode>\£#,##0</c:formatCode>
                <c:ptCount val="7"/>
                <c:pt idx="0">
                  <c:v>206245.48</c:v>
                </c:pt>
                <c:pt idx="1">
                  <c:v>164762.19</c:v>
                </c:pt>
                <c:pt idx="2">
                  <c:v>98302.98</c:v>
                </c:pt>
                <c:pt idx="3">
                  <c:v>97715.99</c:v>
                </c:pt>
                <c:pt idx="4">
                  <c:v>92356.03</c:v>
                </c:pt>
                <c:pt idx="5">
                  <c:v>66756.59</c:v>
                </c:pt>
                <c:pt idx="6">
                  <c:v>66230.64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A-4B0A-9338-C489FF1F0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(£)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\£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 7 Countries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Dashboard!$H$8</c:f>
              <c:strCache>
                <c:ptCount val="1"/>
                <c:pt idx="0">
                  <c:v>Revenue (£)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Dashboard!$G$9:$G$15</c:f>
              <c:strCache>
                <c:ptCount val="7"/>
                <c:pt idx="0">
                  <c:v>United Kingdom</c:v>
                </c:pt>
                <c:pt idx="1">
                  <c:v>Netherlands</c:v>
                </c:pt>
                <c:pt idx="2">
                  <c:v>EIRE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Switzerland</c:v>
                </c:pt>
              </c:strCache>
            </c:strRef>
          </c:cat>
          <c:val>
            <c:numRef>
              <c:f>Dashboard!$H$9:$H$15</c:f>
              <c:numCache>
                <c:formatCode>\£#,##0</c:formatCode>
                <c:ptCount val="7"/>
                <c:pt idx="0">
                  <c:v>8187806.3600000003</c:v>
                </c:pt>
                <c:pt idx="1">
                  <c:v>284661.53999999998</c:v>
                </c:pt>
                <c:pt idx="2">
                  <c:v>263276.82</c:v>
                </c:pt>
                <c:pt idx="3">
                  <c:v>221698.21</c:v>
                </c:pt>
                <c:pt idx="4">
                  <c:v>197403.9</c:v>
                </c:pt>
                <c:pt idx="5">
                  <c:v>137077.26999999999</c:v>
                </c:pt>
                <c:pt idx="6">
                  <c:v>56385.35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C6-4C0A-87AA-B3C71114A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Country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(£)</a:t>
                </a:r>
              </a:p>
            </c:rich>
          </c:tx>
          <c:overlay val="1"/>
        </c:title>
        <c:numFmt formatCode="\£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23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468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RetailData" displayName="RawRetailData" ref="A4:H33">
  <autoFilter ref="A4:H33" xr:uid="{00000000-0009-0000-0100-000001000000}"/>
  <tableColumns count="8">
    <tableColumn id="1" xr3:uid="{00000000-0010-0000-0000-000001000000}" name="InvoiceNo"/>
    <tableColumn id="2" xr3:uid="{00000000-0010-0000-0000-000002000000}" name="StockCode"/>
    <tableColumn id="3" xr3:uid="{00000000-0010-0000-0000-000003000000}" name="Description"/>
    <tableColumn id="4" xr3:uid="{00000000-0010-0000-0000-000004000000}" name="Quantity"/>
    <tableColumn id="5" xr3:uid="{00000000-0010-0000-0000-000005000000}" name="InvoiceDate"/>
    <tableColumn id="6" xr3:uid="{00000000-0010-0000-0000-000006000000}" name="UnitPrice"/>
    <tableColumn id="7" xr3:uid="{00000000-0010-0000-0000-000007000000}" name="CustomerID"/>
    <tableColumn id="8" xr3:uid="{00000000-0010-0000-0000-000008000000}" name="Count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RetailData" displayName="CleanedRetailData" ref="A4:M33">
  <autoFilter ref="A4:M33" xr:uid="{00000000-0009-0000-0100-000002000000}"/>
  <tableColumns count="13">
    <tableColumn id="1" xr3:uid="{00000000-0010-0000-0100-000001000000}" name="InvoiceNo"/>
    <tableColumn id="2" xr3:uid="{00000000-0010-0000-0100-000002000000}" name="StockCode"/>
    <tableColumn id="3" xr3:uid="{00000000-0010-0000-0100-000003000000}" name="Description"/>
    <tableColumn id="4" xr3:uid="{00000000-0010-0000-0100-000004000000}" name="Quantity"/>
    <tableColumn id="5" xr3:uid="{00000000-0010-0000-0100-000005000000}" name="InvoiceDate"/>
    <tableColumn id="6" xr3:uid="{00000000-0010-0000-0100-000006000000}" name="UnitPrice"/>
    <tableColumn id="7" xr3:uid="{00000000-0010-0000-0100-000007000000}" name="CustomerID"/>
    <tableColumn id="8" xr3:uid="{00000000-0010-0000-0100-000008000000}" name="Country"/>
    <tableColumn id="9" xr3:uid="{00000000-0010-0000-0100-000009000000}" name="Revenue"/>
    <tableColumn id="10" xr3:uid="{00000000-0010-0000-0100-00000A000000}" name="Month"/>
    <tableColumn id="11" xr3:uid="{00000000-0010-0000-0100-00000B000000}" name="Transaction_Type"/>
    <tableColumn id="12" xr3:uid="{00000000-0010-0000-0100-00000C000000}" name="Is_Cancelled"/>
    <tableColumn id="13" xr3:uid="{00000000-0010-0000-0100-00000D000000}" name="Is_Retur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3" customWidth="1"/>
    <col min="3" max="3" width="44" customWidth="1"/>
    <col min="4" max="4" width="10" customWidth="1"/>
    <col min="5" max="5" width="22" customWidth="1"/>
    <col min="6" max="7" width="13" customWidth="1"/>
    <col min="8" max="8" width="18" customWidth="1"/>
  </cols>
  <sheetData>
    <row r="1" spans="1:8" ht="30" customHeight="1" x14ac:dyDescent="0.25">
      <c r="A1" s="18" t="s">
        <v>0</v>
      </c>
      <c r="B1" s="17"/>
      <c r="C1" s="17"/>
      <c r="D1" s="17"/>
      <c r="E1" s="17"/>
      <c r="F1" s="17"/>
      <c r="G1" s="17"/>
      <c r="H1" s="17"/>
    </row>
    <row r="2" spans="1:8" x14ac:dyDescent="0.25">
      <c r="A2" s="16" t="s">
        <v>1</v>
      </c>
      <c r="B2" s="17"/>
      <c r="C2" s="17"/>
      <c r="D2" s="17"/>
      <c r="E2" s="17"/>
      <c r="F2" s="17"/>
      <c r="G2" s="17"/>
      <c r="H2" s="17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2" t="s">
        <v>10</v>
      </c>
      <c r="B5" s="2" t="s">
        <v>11</v>
      </c>
      <c r="C5" s="3" t="s">
        <v>12</v>
      </c>
      <c r="D5" s="2">
        <v>6</v>
      </c>
      <c r="E5" s="2" t="s">
        <v>13</v>
      </c>
      <c r="F5" s="2">
        <v>2.5499999999999998</v>
      </c>
      <c r="G5" s="2" t="s">
        <v>14</v>
      </c>
      <c r="H5" s="2" t="s">
        <v>15</v>
      </c>
    </row>
    <row r="6" spans="1:8" x14ac:dyDescent="0.25">
      <c r="A6" s="2" t="s">
        <v>10</v>
      </c>
      <c r="B6" s="2" t="s">
        <v>16</v>
      </c>
      <c r="C6" s="3" t="s">
        <v>17</v>
      </c>
      <c r="D6" s="2">
        <v>6</v>
      </c>
      <c r="E6" s="2" t="s">
        <v>13</v>
      </c>
      <c r="F6" s="2">
        <v>3.39</v>
      </c>
      <c r="G6" s="2" t="s">
        <v>14</v>
      </c>
      <c r="H6" s="2" t="s">
        <v>15</v>
      </c>
    </row>
    <row r="7" spans="1:8" x14ac:dyDescent="0.25">
      <c r="A7" s="2" t="s">
        <v>10</v>
      </c>
      <c r="B7" s="2" t="s">
        <v>18</v>
      </c>
      <c r="C7" s="3" t="s">
        <v>19</v>
      </c>
      <c r="D7" s="2">
        <v>8</v>
      </c>
      <c r="E7" s="2" t="s">
        <v>13</v>
      </c>
      <c r="F7" s="2">
        <v>2.75</v>
      </c>
      <c r="G7" s="2" t="s">
        <v>14</v>
      </c>
      <c r="H7" s="2" t="s">
        <v>15</v>
      </c>
    </row>
    <row r="8" spans="1:8" x14ac:dyDescent="0.25">
      <c r="A8" s="2" t="s">
        <v>10</v>
      </c>
      <c r="B8" s="2" t="s">
        <v>20</v>
      </c>
      <c r="C8" s="3" t="s">
        <v>21</v>
      </c>
      <c r="D8" s="2">
        <v>6</v>
      </c>
      <c r="E8" s="2" t="s">
        <v>13</v>
      </c>
      <c r="F8" s="2">
        <v>3.39</v>
      </c>
      <c r="G8" s="2" t="s">
        <v>14</v>
      </c>
      <c r="H8" s="2" t="s">
        <v>15</v>
      </c>
    </row>
    <row r="9" spans="1:8" x14ac:dyDescent="0.25">
      <c r="A9" s="2" t="s">
        <v>10</v>
      </c>
      <c r="B9" s="2" t="s">
        <v>22</v>
      </c>
      <c r="C9" s="3" t="s">
        <v>23</v>
      </c>
      <c r="D9" s="2">
        <v>6</v>
      </c>
      <c r="E9" s="2" t="s">
        <v>13</v>
      </c>
      <c r="F9" s="2">
        <v>3.39</v>
      </c>
      <c r="G9" s="2" t="s">
        <v>14</v>
      </c>
      <c r="H9" s="2" t="s">
        <v>15</v>
      </c>
    </row>
    <row r="10" spans="1:8" x14ac:dyDescent="0.25">
      <c r="A10" s="2" t="s">
        <v>10</v>
      </c>
      <c r="B10" s="2" t="s">
        <v>24</v>
      </c>
      <c r="C10" s="3" t="s">
        <v>25</v>
      </c>
      <c r="D10" s="2">
        <v>2</v>
      </c>
      <c r="E10" s="2" t="s">
        <v>13</v>
      </c>
      <c r="F10" s="2">
        <v>7.65</v>
      </c>
      <c r="G10" s="2" t="s">
        <v>14</v>
      </c>
      <c r="H10" s="2" t="s">
        <v>15</v>
      </c>
    </row>
    <row r="11" spans="1:8" x14ac:dyDescent="0.25">
      <c r="A11" s="2" t="s">
        <v>10</v>
      </c>
      <c r="B11" s="2" t="s">
        <v>26</v>
      </c>
      <c r="C11" s="3" t="s">
        <v>27</v>
      </c>
      <c r="D11" s="2">
        <v>6</v>
      </c>
      <c r="E11" s="2" t="s">
        <v>13</v>
      </c>
      <c r="F11" s="2">
        <v>4.25</v>
      </c>
      <c r="G11" s="2" t="s">
        <v>14</v>
      </c>
      <c r="H11" s="2" t="s">
        <v>15</v>
      </c>
    </row>
    <row r="12" spans="1:8" x14ac:dyDescent="0.25">
      <c r="A12" s="2" t="s">
        <v>28</v>
      </c>
      <c r="B12" s="2" t="s">
        <v>29</v>
      </c>
      <c r="C12" s="3" t="s">
        <v>30</v>
      </c>
      <c r="D12" s="2">
        <v>6</v>
      </c>
      <c r="E12" s="2" t="s">
        <v>31</v>
      </c>
      <c r="F12" s="2">
        <v>1.85</v>
      </c>
      <c r="G12" s="2" t="s">
        <v>14</v>
      </c>
      <c r="H12" s="2" t="s">
        <v>15</v>
      </c>
    </row>
    <row r="13" spans="1:8" x14ac:dyDescent="0.25">
      <c r="A13" s="2" t="s">
        <v>28</v>
      </c>
      <c r="B13" s="2" t="s">
        <v>32</v>
      </c>
      <c r="C13" s="3" t="s">
        <v>33</v>
      </c>
      <c r="D13" s="2">
        <v>6</v>
      </c>
      <c r="E13" s="2" t="s">
        <v>31</v>
      </c>
      <c r="F13" s="2">
        <v>1.85</v>
      </c>
      <c r="G13" s="2" t="s">
        <v>14</v>
      </c>
      <c r="H13" s="2" t="s">
        <v>15</v>
      </c>
    </row>
    <row r="14" spans="1:8" x14ac:dyDescent="0.25">
      <c r="A14" s="2" t="s">
        <v>34</v>
      </c>
      <c r="B14" s="2" t="s">
        <v>35</v>
      </c>
      <c r="C14" s="3" t="s">
        <v>36</v>
      </c>
      <c r="D14" s="2">
        <v>32</v>
      </c>
      <c r="E14" s="2" t="s">
        <v>37</v>
      </c>
      <c r="F14" s="2">
        <v>1.69</v>
      </c>
      <c r="G14" s="2" t="s">
        <v>38</v>
      </c>
      <c r="H14" s="2" t="s">
        <v>15</v>
      </c>
    </row>
    <row r="15" spans="1:8" x14ac:dyDescent="0.25">
      <c r="A15" s="2" t="s">
        <v>34</v>
      </c>
      <c r="B15" s="2" t="s">
        <v>39</v>
      </c>
      <c r="C15" s="3" t="s">
        <v>40</v>
      </c>
      <c r="D15" s="2">
        <v>6</v>
      </c>
      <c r="E15" s="2" t="s">
        <v>37</v>
      </c>
      <c r="F15" s="2">
        <v>2.1</v>
      </c>
      <c r="G15" s="2" t="s">
        <v>38</v>
      </c>
      <c r="H15" s="2" t="s">
        <v>15</v>
      </c>
    </row>
    <row r="16" spans="1:8" x14ac:dyDescent="0.25">
      <c r="A16" s="2" t="s">
        <v>34</v>
      </c>
      <c r="B16" s="2" t="s">
        <v>41</v>
      </c>
      <c r="C16" s="3" t="s">
        <v>42</v>
      </c>
      <c r="D16" s="2">
        <v>6</v>
      </c>
      <c r="E16" s="2" t="s">
        <v>37</v>
      </c>
      <c r="F16" s="2">
        <v>2.1</v>
      </c>
      <c r="G16" s="2" t="s">
        <v>38</v>
      </c>
      <c r="H16" s="2" t="s">
        <v>15</v>
      </c>
    </row>
    <row r="17" spans="1:8" x14ac:dyDescent="0.25">
      <c r="A17" s="2" t="s">
        <v>34</v>
      </c>
      <c r="B17" s="2" t="s">
        <v>43</v>
      </c>
      <c r="C17" s="3" t="s">
        <v>44</v>
      </c>
      <c r="D17" s="2">
        <v>8</v>
      </c>
      <c r="E17" s="2" t="s">
        <v>37</v>
      </c>
      <c r="F17" s="2">
        <v>3.75</v>
      </c>
      <c r="G17" s="2" t="s">
        <v>38</v>
      </c>
      <c r="H17" s="2" t="s">
        <v>15</v>
      </c>
    </row>
    <row r="18" spans="1:8" x14ac:dyDescent="0.25">
      <c r="A18" s="2" t="s">
        <v>34</v>
      </c>
      <c r="B18" s="2" t="s">
        <v>45</v>
      </c>
      <c r="C18" s="3" t="s">
        <v>46</v>
      </c>
      <c r="D18" s="2">
        <v>6</v>
      </c>
      <c r="E18" s="2" t="s">
        <v>37</v>
      </c>
      <c r="F18" s="2">
        <v>1.65</v>
      </c>
      <c r="G18" s="2" t="s">
        <v>38</v>
      </c>
      <c r="H18" s="2" t="s">
        <v>15</v>
      </c>
    </row>
    <row r="19" spans="1:8" x14ac:dyDescent="0.25">
      <c r="A19" s="2" t="s">
        <v>34</v>
      </c>
      <c r="B19" s="2" t="s">
        <v>47</v>
      </c>
      <c r="C19" s="3" t="s">
        <v>48</v>
      </c>
      <c r="D19" s="2">
        <v>6</v>
      </c>
      <c r="E19" s="2" t="s">
        <v>37</v>
      </c>
      <c r="F19" s="2">
        <v>4.25</v>
      </c>
      <c r="G19" s="2" t="s">
        <v>38</v>
      </c>
      <c r="H19" s="2" t="s">
        <v>15</v>
      </c>
    </row>
    <row r="20" spans="1:8" x14ac:dyDescent="0.25">
      <c r="A20" s="2" t="s">
        <v>34</v>
      </c>
      <c r="B20" s="2" t="s">
        <v>49</v>
      </c>
      <c r="C20" s="3" t="s">
        <v>50</v>
      </c>
      <c r="D20" s="2">
        <v>3</v>
      </c>
      <c r="E20" s="2" t="s">
        <v>37</v>
      </c>
      <c r="F20" s="2">
        <v>4.95</v>
      </c>
      <c r="G20" s="2" t="s">
        <v>38</v>
      </c>
      <c r="H20" s="2" t="s">
        <v>15</v>
      </c>
    </row>
    <row r="21" spans="1:8" x14ac:dyDescent="0.25">
      <c r="A21" s="2" t="s">
        <v>34</v>
      </c>
      <c r="B21" s="2" t="s">
        <v>51</v>
      </c>
      <c r="C21" s="3" t="s">
        <v>52</v>
      </c>
      <c r="D21" s="2">
        <v>2</v>
      </c>
      <c r="E21" s="2" t="s">
        <v>37</v>
      </c>
      <c r="F21" s="2">
        <v>9.9499999999999993</v>
      </c>
      <c r="G21" s="2" t="s">
        <v>38</v>
      </c>
      <c r="H21" s="2" t="s">
        <v>15</v>
      </c>
    </row>
    <row r="22" spans="1:8" x14ac:dyDescent="0.25">
      <c r="A22" s="2" t="s">
        <v>34</v>
      </c>
      <c r="B22" s="2" t="s">
        <v>53</v>
      </c>
      <c r="C22" s="3" t="s">
        <v>54</v>
      </c>
      <c r="D22" s="2">
        <v>3</v>
      </c>
      <c r="E22" s="2" t="s">
        <v>37</v>
      </c>
      <c r="F22" s="2">
        <v>5.95</v>
      </c>
      <c r="G22" s="2" t="s">
        <v>38</v>
      </c>
      <c r="H22" s="2" t="s">
        <v>15</v>
      </c>
    </row>
    <row r="23" spans="1:8" x14ac:dyDescent="0.25">
      <c r="A23" s="2" t="s">
        <v>34</v>
      </c>
      <c r="B23" s="2" t="s">
        <v>55</v>
      </c>
      <c r="C23" s="3" t="s">
        <v>56</v>
      </c>
      <c r="D23" s="2">
        <v>3</v>
      </c>
      <c r="E23" s="2" t="s">
        <v>37</v>
      </c>
      <c r="F23" s="2">
        <v>5.95</v>
      </c>
      <c r="G23" s="2" t="s">
        <v>38</v>
      </c>
      <c r="H23" s="2" t="s">
        <v>15</v>
      </c>
    </row>
    <row r="24" spans="1:8" x14ac:dyDescent="0.25">
      <c r="A24" s="2" t="s">
        <v>34</v>
      </c>
      <c r="B24" s="2" t="s">
        <v>57</v>
      </c>
      <c r="C24" s="3" t="s">
        <v>58</v>
      </c>
      <c r="D24" s="2">
        <v>4</v>
      </c>
      <c r="E24" s="2" t="s">
        <v>37</v>
      </c>
      <c r="F24" s="2">
        <v>7.95</v>
      </c>
      <c r="G24" s="2" t="s">
        <v>38</v>
      </c>
      <c r="H24" s="2" t="s">
        <v>15</v>
      </c>
    </row>
    <row r="25" spans="1:8" x14ac:dyDescent="0.25">
      <c r="A25" s="2" t="s">
        <v>34</v>
      </c>
      <c r="B25" s="2" t="s">
        <v>59</v>
      </c>
      <c r="C25" s="3" t="s">
        <v>60</v>
      </c>
      <c r="D25" s="2">
        <v>4</v>
      </c>
      <c r="E25" s="2" t="s">
        <v>37</v>
      </c>
      <c r="F25" s="2">
        <v>7.95</v>
      </c>
      <c r="G25" s="2" t="s">
        <v>38</v>
      </c>
      <c r="H25" s="2" t="s">
        <v>15</v>
      </c>
    </row>
    <row r="26" spans="1:8" x14ac:dyDescent="0.25">
      <c r="A26" s="2" t="s">
        <v>61</v>
      </c>
      <c r="B26" s="2" t="s">
        <v>62</v>
      </c>
      <c r="C26" s="3" t="s">
        <v>63</v>
      </c>
      <c r="D26" s="2">
        <v>6</v>
      </c>
      <c r="E26" s="2" t="s">
        <v>37</v>
      </c>
      <c r="F26" s="2">
        <v>4.25</v>
      </c>
      <c r="G26" s="2" t="s">
        <v>38</v>
      </c>
      <c r="H26" s="2" t="s">
        <v>15</v>
      </c>
    </row>
    <row r="27" spans="1:8" x14ac:dyDescent="0.25">
      <c r="A27" s="2" t="s">
        <v>61</v>
      </c>
      <c r="B27" s="2" t="s">
        <v>64</v>
      </c>
      <c r="C27" s="3" t="s">
        <v>65</v>
      </c>
      <c r="D27" s="2">
        <v>3</v>
      </c>
      <c r="E27" s="2" t="s">
        <v>37</v>
      </c>
      <c r="F27" s="2">
        <v>4.95</v>
      </c>
      <c r="G27" s="2" t="s">
        <v>38</v>
      </c>
      <c r="H27" s="2" t="s">
        <v>15</v>
      </c>
    </row>
    <row r="28" spans="1:8" x14ac:dyDescent="0.25">
      <c r="A28" s="2" t="s">
        <v>61</v>
      </c>
      <c r="B28" s="2" t="s">
        <v>66</v>
      </c>
      <c r="C28" s="3" t="s">
        <v>67</v>
      </c>
      <c r="D28" s="2">
        <v>3</v>
      </c>
      <c r="E28" s="2" t="s">
        <v>37</v>
      </c>
      <c r="F28" s="2">
        <v>4.95</v>
      </c>
      <c r="G28" s="2" t="s">
        <v>38</v>
      </c>
      <c r="H28" s="2" t="s">
        <v>15</v>
      </c>
    </row>
    <row r="29" spans="1:8" x14ac:dyDescent="0.25">
      <c r="A29" s="2" t="s">
        <v>61</v>
      </c>
      <c r="B29" s="2" t="s">
        <v>68</v>
      </c>
      <c r="C29" s="3" t="s">
        <v>69</v>
      </c>
      <c r="D29" s="2">
        <v>3</v>
      </c>
      <c r="E29" s="2" t="s">
        <v>37</v>
      </c>
      <c r="F29" s="2">
        <v>4.95</v>
      </c>
      <c r="G29" s="2" t="s">
        <v>38</v>
      </c>
      <c r="H29" s="2" t="s">
        <v>15</v>
      </c>
    </row>
    <row r="30" spans="1:8" x14ac:dyDescent="0.25">
      <c r="A30" s="2" t="s">
        <v>70</v>
      </c>
      <c r="B30" s="2" t="s">
        <v>71</v>
      </c>
      <c r="C30" s="3" t="s">
        <v>72</v>
      </c>
      <c r="D30" s="2">
        <v>3</v>
      </c>
      <c r="E30" s="2" t="s">
        <v>73</v>
      </c>
      <c r="F30" s="2">
        <v>5.95</v>
      </c>
      <c r="G30" s="2" t="s">
        <v>38</v>
      </c>
      <c r="H30" s="2" t="s">
        <v>15</v>
      </c>
    </row>
    <row r="31" spans="1:8" x14ac:dyDescent="0.25">
      <c r="A31" s="2" t="s">
        <v>74</v>
      </c>
      <c r="B31" s="2" t="s">
        <v>75</v>
      </c>
      <c r="C31" s="3" t="s">
        <v>76</v>
      </c>
      <c r="D31" s="2">
        <v>24</v>
      </c>
      <c r="E31" s="2" t="s">
        <v>77</v>
      </c>
      <c r="F31" s="2">
        <v>3.75</v>
      </c>
      <c r="G31" s="2" t="s">
        <v>78</v>
      </c>
      <c r="H31" s="2" t="s">
        <v>79</v>
      </c>
    </row>
    <row r="32" spans="1:8" x14ac:dyDescent="0.25">
      <c r="A32" s="2" t="s">
        <v>74</v>
      </c>
      <c r="B32" s="2" t="s">
        <v>80</v>
      </c>
      <c r="C32" s="3" t="s">
        <v>81</v>
      </c>
      <c r="D32" s="2">
        <v>24</v>
      </c>
      <c r="E32" s="2" t="s">
        <v>77</v>
      </c>
      <c r="F32" s="2">
        <v>3.75</v>
      </c>
      <c r="G32" s="2" t="s">
        <v>78</v>
      </c>
      <c r="H32" s="2" t="s">
        <v>79</v>
      </c>
    </row>
    <row r="33" spans="1:8" x14ac:dyDescent="0.25">
      <c r="A33" s="2" t="s">
        <v>74</v>
      </c>
      <c r="B33" s="2" t="s">
        <v>82</v>
      </c>
      <c r="C33" s="3" t="s">
        <v>83</v>
      </c>
      <c r="D33" s="2">
        <v>12</v>
      </c>
      <c r="E33" s="2" t="s">
        <v>77</v>
      </c>
      <c r="F33" s="2">
        <v>3.75</v>
      </c>
      <c r="G33" s="2" t="s">
        <v>78</v>
      </c>
      <c r="H33" s="2" t="s">
        <v>79</v>
      </c>
    </row>
  </sheetData>
  <mergeCells count="2">
    <mergeCell ref="A2:H2"/>
    <mergeCell ref="A1:H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3" customWidth="1"/>
    <col min="3" max="3" width="44" customWidth="1"/>
    <col min="4" max="4" width="10" customWidth="1"/>
    <col min="5" max="5" width="22" customWidth="1"/>
    <col min="6" max="7" width="13" customWidth="1"/>
    <col min="8" max="8" width="18" customWidth="1"/>
    <col min="9" max="9" width="15" customWidth="1"/>
    <col min="10" max="10" width="12" customWidth="1"/>
    <col min="11" max="11" width="18" customWidth="1"/>
    <col min="12" max="12" width="14" customWidth="1"/>
    <col min="13" max="13" width="12" customWidth="1"/>
  </cols>
  <sheetData>
    <row r="1" spans="1:13" ht="30" customHeight="1" x14ac:dyDescent="0.25">
      <c r="A1" s="18" t="s">
        <v>84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19" t="s">
        <v>85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</row>
    <row r="5" spans="1:13" x14ac:dyDescent="0.25">
      <c r="A5" s="2" t="s">
        <v>10</v>
      </c>
      <c r="B5" s="2" t="s">
        <v>11</v>
      </c>
      <c r="C5" s="3" t="s">
        <v>12</v>
      </c>
      <c r="D5" s="2">
        <v>6</v>
      </c>
      <c r="E5" s="14">
        <v>40513.351388888892</v>
      </c>
      <c r="F5" s="15">
        <v>2.5499999999999998</v>
      </c>
      <c r="G5" s="2" t="s">
        <v>14</v>
      </c>
      <c r="H5" s="2" t="s">
        <v>15</v>
      </c>
      <c r="I5" s="15">
        <v>15.3</v>
      </c>
      <c r="J5" s="2" t="s">
        <v>91</v>
      </c>
      <c r="K5" s="2" t="s">
        <v>92</v>
      </c>
      <c r="L5" s="2" t="s">
        <v>93</v>
      </c>
      <c r="M5" s="2" t="s">
        <v>93</v>
      </c>
    </row>
    <row r="6" spans="1:13" x14ac:dyDescent="0.25">
      <c r="A6" s="2" t="s">
        <v>10</v>
      </c>
      <c r="B6" s="2" t="s">
        <v>16</v>
      </c>
      <c r="C6" s="3" t="s">
        <v>17</v>
      </c>
      <c r="D6" s="2">
        <v>6</v>
      </c>
      <c r="E6" s="14">
        <v>40513.351388888892</v>
      </c>
      <c r="F6" s="15">
        <v>3.39</v>
      </c>
      <c r="G6" s="2" t="s">
        <v>14</v>
      </c>
      <c r="H6" s="2" t="s">
        <v>15</v>
      </c>
      <c r="I6" s="15">
        <v>20.34</v>
      </c>
      <c r="J6" s="2" t="s">
        <v>91</v>
      </c>
      <c r="K6" s="2" t="s">
        <v>92</v>
      </c>
      <c r="L6" s="2" t="s">
        <v>93</v>
      </c>
      <c r="M6" s="2" t="s">
        <v>93</v>
      </c>
    </row>
    <row r="7" spans="1:13" x14ac:dyDescent="0.25">
      <c r="A7" s="2" t="s">
        <v>10</v>
      </c>
      <c r="B7" s="2" t="s">
        <v>18</v>
      </c>
      <c r="C7" s="3" t="s">
        <v>19</v>
      </c>
      <c r="D7" s="2">
        <v>8</v>
      </c>
      <c r="E7" s="14">
        <v>40513.351388888892</v>
      </c>
      <c r="F7" s="15">
        <v>2.75</v>
      </c>
      <c r="G7" s="2" t="s">
        <v>14</v>
      </c>
      <c r="H7" s="2" t="s">
        <v>15</v>
      </c>
      <c r="I7" s="15">
        <v>22</v>
      </c>
      <c r="J7" s="2" t="s">
        <v>91</v>
      </c>
      <c r="K7" s="2" t="s">
        <v>92</v>
      </c>
      <c r="L7" s="2" t="s">
        <v>93</v>
      </c>
      <c r="M7" s="2" t="s">
        <v>93</v>
      </c>
    </row>
    <row r="8" spans="1:13" x14ac:dyDescent="0.25">
      <c r="A8" s="2" t="s">
        <v>10</v>
      </c>
      <c r="B8" s="2" t="s">
        <v>20</v>
      </c>
      <c r="C8" s="3" t="s">
        <v>21</v>
      </c>
      <c r="D8" s="2">
        <v>6</v>
      </c>
      <c r="E8" s="14">
        <v>40513.351388888892</v>
      </c>
      <c r="F8" s="15">
        <v>3.39</v>
      </c>
      <c r="G8" s="2" t="s">
        <v>14</v>
      </c>
      <c r="H8" s="2" t="s">
        <v>15</v>
      </c>
      <c r="I8" s="15">
        <v>20.34</v>
      </c>
      <c r="J8" s="2" t="s">
        <v>91</v>
      </c>
      <c r="K8" s="2" t="s">
        <v>92</v>
      </c>
      <c r="L8" s="2" t="s">
        <v>93</v>
      </c>
      <c r="M8" s="2" t="s">
        <v>93</v>
      </c>
    </row>
    <row r="9" spans="1:13" x14ac:dyDescent="0.25">
      <c r="A9" s="2" t="s">
        <v>10</v>
      </c>
      <c r="B9" s="2" t="s">
        <v>22</v>
      </c>
      <c r="C9" s="3" t="s">
        <v>23</v>
      </c>
      <c r="D9" s="2">
        <v>6</v>
      </c>
      <c r="E9" s="14">
        <v>40513.351388888892</v>
      </c>
      <c r="F9" s="15">
        <v>3.39</v>
      </c>
      <c r="G9" s="2" t="s">
        <v>14</v>
      </c>
      <c r="H9" s="2" t="s">
        <v>15</v>
      </c>
      <c r="I9" s="15">
        <v>20.34</v>
      </c>
      <c r="J9" s="2" t="s">
        <v>91</v>
      </c>
      <c r="K9" s="2" t="s">
        <v>92</v>
      </c>
      <c r="L9" s="2" t="s">
        <v>93</v>
      </c>
      <c r="M9" s="2" t="s">
        <v>93</v>
      </c>
    </row>
    <row r="10" spans="1:13" x14ac:dyDescent="0.25">
      <c r="A10" s="2" t="s">
        <v>10</v>
      </c>
      <c r="B10" s="2" t="s">
        <v>24</v>
      </c>
      <c r="C10" s="3" t="s">
        <v>25</v>
      </c>
      <c r="D10" s="2">
        <v>2</v>
      </c>
      <c r="E10" s="14">
        <v>40513.351388888892</v>
      </c>
      <c r="F10" s="15">
        <v>7.65</v>
      </c>
      <c r="G10" s="2" t="s">
        <v>14</v>
      </c>
      <c r="H10" s="2" t="s">
        <v>15</v>
      </c>
      <c r="I10" s="15">
        <v>15.3</v>
      </c>
      <c r="J10" s="2" t="s">
        <v>91</v>
      </c>
      <c r="K10" s="2" t="s">
        <v>92</v>
      </c>
      <c r="L10" s="2" t="s">
        <v>93</v>
      </c>
      <c r="M10" s="2" t="s">
        <v>93</v>
      </c>
    </row>
    <row r="11" spans="1:13" x14ac:dyDescent="0.25">
      <c r="A11" s="2" t="s">
        <v>10</v>
      </c>
      <c r="B11" s="2" t="s">
        <v>26</v>
      </c>
      <c r="C11" s="3" t="s">
        <v>27</v>
      </c>
      <c r="D11" s="2">
        <v>6</v>
      </c>
      <c r="E11" s="14">
        <v>40513.351388888892</v>
      </c>
      <c r="F11" s="15">
        <v>4.25</v>
      </c>
      <c r="G11" s="2" t="s">
        <v>14</v>
      </c>
      <c r="H11" s="2" t="s">
        <v>15</v>
      </c>
      <c r="I11" s="15">
        <v>25.5</v>
      </c>
      <c r="J11" s="2" t="s">
        <v>91</v>
      </c>
      <c r="K11" s="2" t="s">
        <v>92</v>
      </c>
      <c r="L11" s="2" t="s">
        <v>93</v>
      </c>
      <c r="M11" s="2" t="s">
        <v>93</v>
      </c>
    </row>
    <row r="12" spans="1:13" x14ac:dyDescent="0.25">
      <c r="A12" s="2" t="s">
        <v>28</v>
      </c>
      <c r="B12" s="2" t="s">
        <v>29</v>
      </c>
      <c r="C12" s="3" t="s">
        <v>30</v>
      </c>
      <c r="D12" s="2">
        <v>6</v>
      </c>
      <c r="E12" s="14">
        <v>40513.352777777778</v>
      </c>
      <c r="F12" s="15">
        <v>1.85</v>
      </c>
      <c r="G12" s="2" t="s">
        <v>14</v>
      </c>
      <c r="H12" s="2" t="s">
        <v>15</v>
      </c>
      <c r="I12" s="15">
        <v>11.1</v>
      </c>
      <c r="J12" s="2" t="s">
        <v>91</v>
      </c>
      <c r="K12" s="2" t="s">
        <v>92</v>
      </c>
      <c r="L12" s="2" t="s">
        <v>93</v>
      </c>
      <c r="M12" s="2" t="s">
        <v>93</v>
      </c>
    </row>
    <row r="13" spans="1:13" x14ac:dyDescent="0.25">
      <c r="A13" s="2" t="s">
        <v>28</v>
      </c>
      <c r="B13" s="2" t="s">
        <v>32</v>
      </c>
      <c r="C13" s="3" t="s">
        <v>33</v>
      </c>
      <c r="D13" s="2">
        <v>6</v>
      </c>
      <c r="E13" s="14">
        <v>40513.352777777778</v>
      </c>
      <c r="F13" s="15">
        <v>1.85</v>
      </c>
      <c r="G13" s="2" t="s">
        <v>14</v>
      </c>
      <c r="H13" s="2" t="s">
        <v>15</v>
      </c>
      <c r="I13" s="15">
        <v>11.1</v>
      </c>
      <c r="J13" s="2" t="s">
        <v>91</v>
      </c>
      <c r="K13" s="2" t="s">
        <v>92</v>
      </c>
      <c r="L13" s="2" t="s">
        <v>93</v>
      </c>
      <c r="M13" s="2" t="s">
        <v>93</v>
      </c>
    </row>
    <row r="14" spans="1:13" x14ac:dyDescent="0.25">
      <c r="A14" s="2" t="s">
        <v>34</v>
      </c>
      <c r="B14" s="2" t="s">
        <v>35</v>
      </c>
      <c r="C14" s="3" t="s">
        <v>36</v>
      </c>
      <c r="D14" s="2">
        <v>32</v>
      </c>
      <c r="E14" s="14">
        <v>40513.356944444437</v>
      </c>
      <c r="F14" s="15">
        <v>1.69</v>
      </c>
      <c r="G14" s="2" t="s">
        <v>38</v>
      </c>
      <c r="H14" s="2" t="s">
        <v>15</v>
      </c>
      <c r="I14" s="15">
        <v>54.08</v>
      </c>
      <c r="J14" s="2" t="s">
        <v>91</v>
      </c>
      <c r="K14" s="2" t="s">
        <v>92</v>
      </c>
      <c r="L14" s="2" t="s">
        <v>93</v>
      </c>
      <c r="M14" s="2" t="s">
        <v>93</v>
      </c>
    </row>
    <row r="15" spans="1:13" x14ac:dyDescent="0.25">
      <c r="A15" s="2" t="s">
        <v>34</v>
      </c>
      <c r="B15" s="2" t="s">
        <v>39</v>
      </c>
      <c r="C15" s="3" t="s">
        <v>40</v>
      </c>
      <c r="D15" s="2">
        <v>6</v>
      </c>
      <c r="E15" s="14">
        <v>40513.356944444437</v>
      </c>
      <c r="F15" s="15">
        <v>2.1</v>
      </c>
      <c r="G15" s="2" t="s">
        <v>38</v>
      </c>
      <c r="H15" s="2" t="s">
        <v>15</v>
      </c>
      <c r="I15" s="15">
        <v>12.6</v>
      </c>
      <c r="J15" s="2" t="s">
        <v>91</v>
      </c>
      <c r="K15" s="2" t="s">
        <v>92</v>
      </c>
      <c r="L15" s="2" t="s">
        <v>93</v>
      </c>
      <c r="M15" s="2" t="s">
        <v>93</v>
      </c>
    </row>
    <row r="16" spans="1:13" x14ac:dyDescent="0.25">
      <c r="A16" s="2" t="s">
        <v>34</v>
      </c>
      <c r="B16" s="2" t="s">
        <v>41</v>
      </c>
      <c r="C16" s="3" t="s">
        <v>42</v>
      </c>
      <c r="D16" s="2">
        <v>6</v>
      </c>
      <c r="E16" s="14">
        <v>40513.356944444437</v>
      </c>
      <c r="F16" s="15">
        <v>2.1</v>
      </c>
      <c r="G16" s="2" t="s">
        <v>38</v>
      </c>
      <c r="H16" s="2" t="s">
        <v>15</v>
      </c>
      <c r="I16" s="15">
        <v>12.6</v>
      </c>
      <c r="J16" s="2" t="s">
        <v>91</v>
      </c>
      <c r="K16" s="2" t="s">
        <v>92</v>
      </c>
      <c r="L16" s="2" t="s">
        <v>93</v>
      </c>
      <c r="M16" s="2" t="s">
        <v>93</v>
      </c>
    </row>
    <row r="17" spans="1:13" x14ac:dyDescent="0.25">
      <c r="A17" s="2" t="s">
        <v>34</v>
      </c>
      <c r="B17" s="2" t="s">
        <v>43</v>
      </c>
      <c r="C17" s="3" t="s">
        <v>44</v>
      </c>
      <c r="D17" s="2">
        <v>8</v>
      </c>
      <c r="E17" s="14">
        <v>40513.356944444437</v>
      </c>
      <c r="F17" s="15">
        <v>3.75</v>
      </c>
      <c r="G17" s="2" t="s">
        <v>38</v>
      </c>
      <c r="H17" s="2" t="s">
        <v>15</v>
      </c>
      <c r="I17" s="15">
        <v>30</v>
      </c>
      <c r="J17" s="2" t="s">
        <v>91</v>
      </c>
      <c r="K17" s="2" t="s">
        <v>92</v>
      </c>
      <c r="L17" s="2" t="s">
        <v>93</v>
      </c>
      <c r="M17" s="2" t="s">
        <v>93</v>
      </c>
    </row>
    <row r="18" spans="1:13" x14ac:dyDescent="0.25">
      <c r="A18" s="2" t="s">
        <v>34</v>
      </c>
      <c r="B18" s="2" t="s">
        <v>45</v>
      </c>
      <c r="C18" s="3" t="s">
        <v>46</v>
      </c>
      <c r="D18" s="2">
        <v>6</v>
      </c>
      <c r="E18" s="14">
        <v>40513.356944444437</v>
      </c>
      <c r="F18" s="15">
        <v>1.65</v>
      </c>
      <c r="G18" s="2" t="s">
        <v>38</v>
      </c>
      <c r="H18" s="2" t="s">
        <v>15</v>
      </c>
      <c r="I18" s="15">
        <v>9.8999999999999986</v>
      </c>
      <c r="J18" s="2" t="s">
        <v>91</v>
      </c>
      <c r="K18" s="2" t="s">
        <v>92</v>
      </c>
      <c r="L18" s="2" t="s">
        <v>93</v>
      </c>
      <c r="M18" s="2" t="s">
        <v>93</v>
      </c>
    </row>
    <row r="19" spans="1:13" x14ac:dyDescent="0.25">
      <c r="A19" s="2" t="s">
        <v>34</v>
      </c>
      <c r="B19" s="2" t="s">
        <v>47</v>
      </c>
      <c r="C19" s="3" t="s">
        <v>48</v>
      </c>
      <c r="D19" s="2">
        <v>6</v>
      </c>
      <c r="E19" s="14">
        <v>40513.356944444437</v>
      </c>
      <c r="F19" s="15">
        <v>4.25</v>
      </c>
      <c r="G19" s="2" t="s">
        <v>38</v>
      </c>
      <c r="H19" s="2" t="s">
        <v>15</v>
      </c>
      <c r="I19" s="15">
        <v>25.5</v>
      </c>
      <c r="J19" s="2" t="s">
        <v>91</v>
      </c>
      <c r="K19" s="2" t="s">
        <v>92</v>
      </c>
      <c r="L19" s="2" t="s">
        <v>93</v>
      </c>
      <c r="M19" s="2" t="s">
        <v>93</v>
      </c>
    </row>
    <row r="20" spans="1:13" x14ac:dyDescent="0.25">
      <c r="A20" s="2" t="s">
        <v>34</v>
      </c>
      <c r="B20" s="2" t="s">
        <v>49</v>
      </c>
      <c r="C20" s="3" t="s">
        <v>50</v>
      </c>
      <c r="D20" s="2">
        <v>3</v>
      </c>
      <c r="E20" s="14">
        <v>40513.356944444437</v>
      </c>
      <c r="F20" s="15">
        <v>4.95</v>
      </c>
      <c r="G20" s="2" t="s">
        <v>38</v>
      </c>
      <c r="H20" s="2" t="s">
        <v>15</v>
      </c>
      <c r="I20" s="15">
        <v>14.85</v>
      </c>
      <c r="J20" s="2" t="s">
        <v>91</v>
      </c>
      <c r="K20" s="2" t="s">
        <v>92</v>
      </c>
      <c r="L20" s="2" t="s">
        <v>93</v>
      </c>
      <c r="M20" s="2" t="s">
        <v>93</v>
      </c>
    </row>
    <row r="21" spans="1:13" x14ac:dyDescent="0.25">
      <c r="A21" s="2" t="s">
        <v>34</v>
      </c>
      <c r="B21" s="2" t="s">
        <v>51</v>
      </c>
      <c r="C21" s="3" t="s">
        <v>52</v>
      </c>
      <c r="D21" s="2">
        <v>2</v>
      </c>
      <c r="E21" s="14">
        <v>40513.356944444437</v>
      </c>
      <c r="F21" s="15">
        <v>9.9499999999999993</v>
      </c>
      <c r="G21" s="2" t="s">
        <v>38</v>
      </c>
      <c r="H21" s="2" t="s">
        <v>15</v>
      </c>
      <c r="I21" s="15">
        <v>19.899999999999999</v>
      </c>
      <c r="J21" s="2" t="s">
        <v>91</v>
      </c>
      <c r="K21" s="2" t="s">
        <v>92</v>
      </c>
      <c r="L21" s="2" t="s">
        <v>93</v>
      </c>
      <c r="M21" s="2" t="s">
        <v>93</v>
      </c>
    </row>
    <row r="22" spans="1:13" x14ac:dyDescent="0.25">
      <c r="A22" s="2" t="s">
        <v>34</v>
      </c>
      <c r="B22" s="2" t="s">
        <v>53</v>
      </c>
      <c r="C22" s="3" t="s">
        <v>54</v>
      </c>
      <c r="D22" s="2">
        <v>3</v>
      </c>
      <c r="E22" s="14">
        <v>40513.356944444437</v>
      </c>
      <c r="F22" s="15">
        <v>5.95</v>
      </c>
      <c r="G22" s="2" t="s">
        <v>38</v>
      </c>
      <c r="H22" s="2" t="s">
        <v>15</v>
      </c>
      <c r="I22" s="15">
        <v>17.850000000000001</v>
      </c>
      <c r="J22" s="2" t="s">
        <v>91</v>
      </c>
      <c r="K22" s="2" t="s">
        <v>92</v>
      </c>
      <c r="L22" s="2" t="s">
        <v>93</v>
      </c>
      <c r="M22" s="2" t="s">
        <v>93</v>
      </c>
    </row>
    <row r="23" spans="1:13" x14ac:dyDescent="0.25">
      <c r="A23" s="2" t="s">
        <v>34</v>
      </c>
      <c r="B23" s="2" t="s">
        <v>55</v>
      </c>
      <c r="C23" s="3" t="s">
        <v>56</v>
      </c>
      <c r="D23" s="2">
        <v>3</v>
      </c>
      <c r="E23" s="14">
        <v>40513.356944444437</v>
      </c>
      <c r="F23" s="15">
        <v>5.95</v>
      </c>
      <c r="G23" s="2" t="s">
        <v>38</v>
      </c>
      <c r="H23" s="2" t="s">
        <v>15</v>
      </c>
      <c r="I23" s="15">
        <v>17.850000000000001</v>
      </c>
      <c r="J23" s="2" t="s">
        <v>91</v>
      </c>
      <c r="K23" s="2" t="s">
        <v>92</v>
      </c>
      <c r="L23" s="2" t="s">
        <v>93</v>
      </c>
      <c r="M23" s="2" t="s">
        <v>93</v>
      </c>
    </row>
    <row r="24" spans="1:13" x14ac:dyDescent="0.25">
      <c r="A24" s="2" t="s">
        <v>34</v>
      </c>
      <c r="B24" s="2" t="s">
        <v>57</v>
      </c>
      <c r="C24" s="3" t="s">
        <v>58</v>
      </c>
      <c r="D24" s="2">
        <v>4</v>
      </c>
      <c r="E24" s="14">
        <v>40513.356944444437</v>
      </c>
      <c r="F24" s="15">
        <v>7.95</v>
      </c>
      <c r="G24" s="2" t="s">
        <v>38</v>
      </c>
      <c r="H24" s="2" t="s">
        <v>15</v>
      </c>
      <c r="I24" s="15">
        <v>31.8</v>
      </c>
      <c r="J24" s="2" t="s">
        <v>91</v>
      </c>
      <c r="K24" s="2" t="s">
        <v>92</v>
      </c>
      <c r="L24" s="2" t="s">
        <v>93</v>
      </c>
      <c r="M24" s="2" t="s">
        <v>93</v>
      </c>
    </row>
    <row r="25" spans="1:13" x14ac:dyDescent="0.25">
      <c r="A25" s="2" t="s">
        <v>34</v>
      </c>
      <c r="B25" s="2" t="s">
        <v>59</v>
      </c>
      <c r="C25" s="3" t="s">
        <v>60</v>
      </c>
      <c r="D25" s="2">
        <v>4</v>
      </c>
      <c r="E25" s="14">
        <v>40513.356944444437</v>
      </c>
      <c r="F25" s="15">
        <v>7.95</v>
      </c>
      <c r="G25" s="2" t="s">
        <v>38</v>
      </c>
      <c r="H25" s="2" t="s">
        <v>15</v>
      </c>
      <c r="I25" s="15">
        <v>31.8</v>
      </c>
      <c r="J25" s="2" t="s">
        <v>91</v>
      </c>
      <c r="K25" s="2" t="s">
        <v>92</v>
      </c>
      <c r="L25" s="2" t="s">
        <v>93</v>
      </c>
      <c r="M25" s="2" t="s">
        <v>93</v>
      </c>
    </row>
    <row r="26" spans="1:13" x14ac:dyDescent="0.25">
      <c r="A26" s="2" t="s">
        <v>61</v>
      </c>
      <c r="B26" s="2" t="s">
        <v>62</v>
      </c>
      <c r="C26" s="3" t="s">
        <v>63</v>
      </c>
      <c r="D26" s="2">
        <v>6</v>
      </c>
      <c r="E26" s="14">
        <v>40513.356944444437</v>
      </c>
      <c r="F26" s="15">
        <v>4.25</v>
      </c>
      <c r="G26" s="2" t="s">
        <v>38</v>
      </c>
      <c r="H26" s="2" t="s">
        <v>15</v>
      </c>
      <c r="I26" s="15">
        <v>25.5</v>
      </c>
      <c r="J26" s="2" t="s">
        <v>91</v>
      </c>
      <c r="K26" s="2" t="s">
        <v>92</v>
      </c>
      <c r="L26" s="2" t="s">
        <v>93</v>
      </c>
      <c r="M26" s="2" t="s">
        <v>93</v>
      </c>
    </row>
    <row r="27" spans="1:13" x14ac:dyDescent="0.25">
      <c r="A27" s="2" t="s">
        <v>61</v>
      </c>
      <c r="B27" s="2" t="s">
        <v>64</v>
      </c>
      <c r="C27" s="3" t="s">
        <v>65</v>
      </c>
      <c r="D27" s="2">
        <v>3</v>
      </c>
      <c r="E27" s="14">
        <v>40513.356944444437</v>
      </c>
      <c r="F27" s="15">
        <v>4.95</v>
      </c>
      <c r="G27" s="2" t="s">
        <v>38</v>
      </c>
      <c r="H27" s="2" t="s">
        <v>15</v>
      </c>
      <c r="I27" s="15">
        <v>14.85</v>
      </c>
      <c r="J27" s="2" t="s">
        <v>91</v>
      </c>
      <c r="K27" s="2" t="s">
        <v>92</v>
      </c>
      <c r="L27" s="2" t="s">
        <v>93</v>
      </c>
      <c r="M27" s="2" t="s">
        <v>93</v>
      </c>
    </row>
    <row r="28" spans="1:13" x14ac:dyDescent="0.25">
      <c r="A28" s="2" t="s">
        <v>61</v>
      </c>
      <c r="B28" s="2" t="s">
        <v>66</v>
      </c>
      <c r="C28" s="3" t="s">
        <v>67</v>
      </c>
      <c r="D28" s="2">
        <v>3</v>
      </c>
      <c r="E28" s="14">
        <v>40513.356944444437</v>
      </c>
      <c r="F28" s="15">
        <v>4.95</v>
      </c>
      <c r="G28" s="2" t="s">
        <v>38</v>
      </c>
      <c r="H28" s="2" t="s">
        <v>15</v>
      </c>
      <c r="I28" s="15">
        <v>14.85</v>
      </c>
      <c r="J28" s="2" t="s">
        <v>91</v>
      </c>
      <c r="K28" s="2" t="s">
        <v>92</v>
      </c>
      <c r="L28" s="2" t="s">
        <v>93</v>
      </c>
      <c r="M28" s="2" t="s">
        <v>93</v>
      </c>
    </row>
    <row r="29" spans="1:13" x14ac:dyDescent="0.25">
      <c r="A29" s="2" t="s">
        <v>61</v>
      </c>
      <c r="B29" s="2" t="s">
        <v>68</v>
      </c>
      <c r="C29" s="3" t="s">
        <v>69</v>
      </c>
      <c r="D29" s="2">
        <v>3</v>
      </c>
      <c r="E29" s="14">
        <v>40513.356944444437</v>
      </c>
      <c r="F29" s="15">
        <v>4.95</v>
      </c>
      <c r="G29" s="2" t="s">
        <v>38</v>
      </c>
      <c r="H29" s="2" t="s">
        <v>15</v>
      </c>
      <c r="I29" s="15">
        <v>14.85</v>
      </c>
      <c r="J29" s="2" t="s">
        <v>91</v>
      </c>
      <c r="K29" s="2" t="s">
        <v>92</v>
      </c>
      <c r="L29" s="2" t="s">
        <v>93</v>
      </c>
      <c r="M29" s="2" t="s">
        <v>93</v>
      </c>
    </row>
    <row r="30" spans="1:13" x14ac:dyDescent="0.25">
      <c r="A30" s="2" t="s">
        <v>70</v>
      </c>
      <c r="B30" s="2" t="s">
        <v>71</v>
      </c>
      <c r="C30" s="3" t="s">
        <v>72</v>
      </c>
      <c r="D30" s="2">
        <v>3</v>
      </c>
      <c r="E30" s="14">
        <v>40513.357638888891</v>
      </c>
      <c r="F30" s="15">
        <v>5.95</v>
      </c>
      <c r="G30" s="2" t="s">
        <v>38</v>
      </c>
      <c r="H30" s="2" t="s">
        <v>15</v>
      </c>
      <c r="I30" s="15">
        <v>17.850000000000001</v>
      </c>
      <c r="J30" s="2" t="s">
        <v>91</v>
      </c>
      <c r="K30" s="2" t="s">
        <v>92</v>
      </c>
      <c r="L30" s="2" t="s">
        <v>93</v>
      </c>
      <c r="M30" s="2" t="s">
        <v>93</v>
      </c>
    </row>
    <row r="31" spans="1:13" x14ac:dyDescent="0.25">
      <c r="A31" s="2" t="s">
        <v>74</v>
      </c>
      <c r="B31" s="2" t="s">
        <v>75</v>
      </c>
      <c r="C31" s="3" t="s">
        <v>76</v>
      </c>
      <c r="D31" s="2">
        <v>24</v>
      </c>
      <c r="E31" s="14">
        <v>40513.364583333343</v>
      </c>
      <c r="F31" s="15">
        <v>3.75</v>
      </c>
      <c r="G31" s="2" t="s">
        <v>78</v>
      </c>
      <c r="H31" s="2" t="s">
        <v>79</v>
      </c>
      <c r="I31" s="15">
        <v>90</v>
      </c>
      <c r="J31" s="2" t="s">
        <v>91</v>
      </c>
      <c r="K31" s="2" t="s">
        <v>92</v>
      </c>
      <c r="L31" s="2" t="s">
        <v>93</v>
      </c>
      <c r="M31" s="2" t="s">
        <v>93</v>
      </c>
    </row>
    <row r="32" spans="1:13" x14ac:dyDescent="0.25">
      <c r="A32" s="2" t="s">
        <v>74</v>
      </c>
      <c r="B32" s="2" t="s">
        <v>80</v>
      </c>
      <c r="C32" s="3" t="s">
        <v>81</v>
      </c>
      <c r="D32" s="2">
        <v>24</v>
      </c>
      <c r="E32" s="14">
        <v>40513.364583333343</v>
      </c>
      <c r="F32" s="15">
        <v>3.75</v>
      </c>
      <c r="G32" s="2" t="s">
        <v>78</v>
      </c>
      <c r="H32" s="2" t="s">
        <v>79</v>
      </c>
      <c r="I32" s="15">
        <v>90</v>
      </c>
      <c r="J32" s="2" t="s">
        <v>91</v>
      </c>
      <c r="K32" s="2" t="s">
        <v>92</v>
      </c>
      <c r="L32" s="2" t="s">
        <v>93</v>
      </c>
      <c r="M32" s="2" t="s">
        <v>93</v>
      </c>
    </row>
    <row r="33" spans="1:13" x14ac:dyDescent="0.25">
      <c r="A33" s="2" t="s">
        <v>74</v>
      </c>
      <c r="B33" s="2" t="s">
        <v>82</v>
      </c>
      <c r="C33" s="3" t="s">
        <v>83</v>
      </c>
      <c r="D33" s="2">
        <v>12</v>
      </c>
      <c r="E33" s="14">
        <v>40513.364583333343</v>
      </c>
      <c r="F33" s="15">
        <v>3.75</v>
      </c>
      <c r="G33" s="2" t="s">
        <v>78</v>
      </c>
      <c r="H33" s="2" t="s">
        <v>79</v>
      </c>
      <c r="I33" s="15">
        <v>45</v>
      </c>
      <c r="J33" s="2" t="s">
        <v>91</v>
      </c>
      <c r="K33" s="2" t="s">
        <v>92</v>
      </c>
      <c r="L33" s="2" t="s">
        <v>93</v>
      </c>
      <c r="M33" s="2" t="s">
        <v>93</v>
      </c>
    </row>
  </sheetData>
  <mergeCells count="2">
    <mergeCell ref="A2:M2"/>
    <mergeCell ref="A1:M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showGridLines="0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9" customWidth="1"/>
    <col min="2" max="2" width="28" customWidth="1"/>
    <col min="3" max="3" width="35" customWidth="1"/>
    <col min="4" max="5" width="40" customWidth="1"/>
  </cols>
  <sheetData>
    <row r="1" spans="1:5" ht="30" customHeight="1" x14ac:dyDescent="0.25">
      <c r="A1" s="18" t="s">
        <v>179</v>
      </c>
      <c r="B1" s="17"/>
      <c r="C1" s="17"/>
      <c r="D1" s="17"/>
      <c r="E1" s="17"/>
    </row>
    <row r="3" spans="1:5" x14ac:dyDescent="0.25">
      <c r="A3" s="1" t="s">
        <v>180</v>
      </c>
      <c r="B3" s="1" t="s">
        <v>181</v>
      </c>
      <c r="C3" s="1" t="s">
        <v>182</v>
      </c>
      <c r="D3" s="1" t="s">
        <v>183</v>
      </c>
      <c r="E3" s="1" t="s">
        <v>184</v>
      </c>
    </row>
    <row r="4" spans="1:5" x14ac:dyDescent="0.25">
      <c r="A4" s="3" t="s">
        <v>185</v>
      </c>
      <c r="B4" s="3" t="s">
        <v>186</v>
      </c>
      <c r="C4" s="3" t="s">
        <v>187</v>
      </c>
      <c r="D4" s="3" t="s">
        <v>188</v>
      </c>
      <c r="E4" s="3" t="s">
        <v>189</v>
      </c>
    </row>
    <row r="5" spans="1:5" ht="30" x14ac:dyDescent="0.25">
      <c r="A5" s="3" t="s">
        <v>190</v>
      </c>
      <c r="B5" s="3" t="s">
        <v>191</v>
      </c>
      <c r="C5" s="3" t="s">
        <v>192</v>
      </c>
      <c r="D5" s="3" t="s">
        <v>193</v>
      </c>
      <c r="E5" s="3" t="s">
        <v>194</v>
      </c>
    </row>
    <row r="6" spans="1:5" ht="30" x14ac:dyDescent="0.25">
      <c r="A6" s="3" t="s">
        <v>195</v>
      </c>
      <c r="B6" s="3" t="s">
        <v>196</v>
      </c>
      <c r="C6" s="3" t="s">
        <v>197</v>
      </c>
      <c r="D6" s="3" t="s">
        <v>198</v>
      </c>
      <c r="E6" s="3" t="s">
        <v>199</v>
      </c>
    </row>
    <row r="7" spans="1:5" x14ac:dyDescent="0.25">
      <c r="A7" s="3" t="s">
        <v>200</v>
      </c>
      <c r="B7" s="3" t="s">
        <v>201</v>
      </c>
      <c r="C7" s="3" t="s">
        <v>202</v>
      </c>
      <c r="D7" s="3" t="s">
        <v>203</v>
      </c>
      <c r="E7" s="3" t="s">
        <v>204</v>
      </c>
    </row>
    <row r="8" spans="1:5" x14ac:dyDescent="0.25">
      <c r="A8" s="3" t="s">
        <v>205</v>
      </c>
      <c r="B8" s="3" t="s">
        <v>206</v>
      </c>
      <c r="C8" s="3" t="s">
        <v>207</v>
      </c>
      <c r="D8" s="3" t="s">
        <v>208</v>
      </c>
      <c r="E8" s="3" t="s">
        <v>209</v>
      </c>
    </row>
    <row r="9" spans="1:5" x14ac:dyDescent="0.25">
      <c r="A9" s="3" t="s">
        <v>210</v>
      </c>
      <c r="B9" s="3" t="s">
        <v>211</v>
      </c>
      <c r="C9" s="3" t="s">
        <v>212</v>
      </c>
      <c r="D9" s="3" t="s">
        <v>213</v>
      </c>
      <c r="E9" s="3" t="s">
        <v>214</v>
      </c>
    </row>
    <row r="10" spans="1:5" x14ac:dyDescent="0.25">
      <c r="A10" s="3" t="s">
        <v>215</v>
      </c>
      <c r="B10" s="3" t="s">
        <v>216</v>
      </c>
      <c r="C10" s="3" t="s">
        <v>217</v>
      </c>
      <c r="D10" s="3" t="s">
        <v>218</v>
      </c>
      <c r="E10" s="3" t="s">
        <v>219</v>
      </c>
    </row>
    <row r="11" spans="1:5" x14ac:dyDescent="0.25">
      <c r="A11" s="3" t="s">
        <v>220</v>
      </c>
      <c r="B11" s="3" t="s">
        <v>221</v>
      </c>
      <c r="C11" s="3" t="s">
        <v>222</v>
      </c>
      <c r="D11" s="3" t="s">
        <v>223</v>
      </c>
      <c r="E11" s="3" t="s">
        <v>224</v>
      </c>
    </row>
    <row r="12" spans="1:5" x14ac:dyDescent="0.25">
      <c r="A12" s="3" t="s">
        <v>225</v>
      </c>
      <c r="B12" s="3" t="s">
        <v>226</v>
      </c>
      <c r="C12" s="3" t="s">
        <v>227</v>
      </c>
      <c r="D12" s="3" t="s">
        <v>228</v>
      </c>
      <c r="E12" s="3" t="s">
        <v>229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46" customWidth="1"/>
    <col min="4" max="8" width="15" customWidth="1"/>
  </cols>
  <sheetData>
    <row r="1" spans="1:8" ht="30" customHeight="1" x14ac:dyDescent="0.25">
      <c r="A1" s="18" t="s">
        <v>94</v>
      </c>
      <c r="B1" s="17"/>
      <c r="C1" s="17"/>
      <c r="D1" s="17"/>
      <c r="E1" s="17"/>
      <c r="F1" s="17"/>
      <c r="G1" s="17"/>
      <c r="H1" s="17"/>
    </row>
    <row r="3" spans="1:8" x14ac:dyDescent="0.25">
      <c r="A3" s="1" t="s">
        <v>95</v>
      </c>
      <c r="B3" s="1" t="s">
        <v>96</v>
      </c>
      <c r="C3" s="1" t="s">
        <v>97</v>
      </c>
    </row>
    <row r="4" spans="1:8" ht="15.75" x14ac:dyDescent="0.25">
      <c r="A4" s="6" t="s">
        <v>98</v>
      </c>
      <c r="B4" s="7">
        <v>541909</v>
      </c>
      <c r="C4" s="8" t="s">
        <v>99</v>
      </c>
    </row>
    <row r="5" spans="1:8" ht="15.75" x14ac:dyDescent="0.25">
      <c r="A5" s="6" t="s">
        <v>100</v>
      </c>
      <c r="B5" s="7">
        <v>25900</v>
      </c>
      <c r="C5" s="8" t="s">
        <v>101</v>
      </c>
    </row>
    <row r="6" spans="1:8" ht="15.75" x14ac:dyDescent="0.25">
      <c r="A6" s="6" t="s">
        <v>102</v>
      </c>
      <c r="B6" s="7">
        <v>4372</v>
      </c>
      <c r="C6" s="8" t="s">
        <v>103</v>
      </c>
    </row>
    <row r="7" spans="1:8" ht="15.75" x14ac:dyDescent="0.25">
      <c r="A7" s="6" t="s">
        <v>104</v>
      </c>
      <c r="B7" s="7">
        <v>38</v>
      </c>
      <c r="C7" s="8" t="s">
        <v>105</v>
      </c>
    </row>
    <row r="8" spans="1:8" ht="15.75" x14ac:dyDescent="0.25">
      <c r="A8" s="6" t="s">
        <v>106</v>
      </c>
      <c r="B8" s="9">
        <v>9747747.9299999997</v>
      </c>
      <c r="C8" s="8" t="s">
        <v>107</v>
      </c>
    </row>
    <row r="9" spans="1:8" ht="15.75" x14ac:dyDescent="0.25">
      <c r="A9" s="6" t="s">
        <v>108</v>
      </c>
      <c r="B9" s="9">
        <v>376.36</v>
      </c>
      <c r="C9" s="8" t="s">
        <v>109</v>
      </c>
    </row>
    <row r="10" spans="1:8" ht="15.75" x14ac:dyDescent="0.25">
      <c r="A10" s="6" t="s">
        <v>110</v>
      </c>
      <c r="B10" s="10">
        <v>40513</v>
      </c>
      <c r="C10" s="8" t="s">
        <v>111</v>
      </c>
    </row>
    <row r="11" spans="1:8" ht="15.75" x14ac:dyDescent="0.25">
      <c r="A11" s="6" t="s">
        <v>112</v>
      </c>
      <c r="B11" s="10">
        <v>40886</v>
      </c>
      <c r="C11" s="8" t="s">
        <v>111</v>
      </c>
    </row>
    <row r="14" spans="1:8" x14ac:dyDescent="0.25">
      <c r="A14" s="23" t="s">
        <v>113</v>
      </c>
      <c r="B14" s="17"/>
      <c r="C14" s="17"/>
      <c r="D14" s="17"/>
      <c r="E14" s="17"/>
      <c r="F14" s="17"/>
      <c r="G14" s="17"/>
      <c r="H14" s="17"/>
    </row>
    <row r="15" spans="1:8" x14ac:dyDescent="0.25">
      <c r="A15" s="20" t="s">
        <v>114</v>
      </c>
      <c r="B15" s="21"/>
      <c r="C15" s="21"/>
      <c r="D15" s="21"/>
      <c r="E15" s="21"/>
      <c r="F15" s="21"/>
      <c r="G15" s="21"/>
      <c r="H15" s="22"/>
    </row>
    <row r="16" spans="1:8" x14ac:dyDescent="0.25">
      <c r="A16" s="20" t="s">
        <v>115</v>
      </c>
      <c r="B16" s="21"/>
      <c r="C16" s="21"/>
      <c r="D16" s="21"/>
      <c r="E16" s="21"/>
      <c r="F16" s="21"/>
      <c r="G16" s="21"/>
      <c r="H16" s="22"/>
    </row>
    <row r="17" spans="1:8" x14ac:dyDescent="0.25">
      <c r="A17" s="20" t="s">
        <v>116</v>
      </c>
      <c r="B17" s="21"/>
      <c r="C17" s="21"/>
      <c r="D17" s="21"/>
      <c r="E17" s="21"/>
      <c r="F17" s="21"/>
      <c r="G17" s="21"/>
      <c r="H17" s="22"/>
    </row>
    <row r="18" spans="1:8" x14ac:dyDescent="0.25">
      <c r="A18" s="20" t="s">
        <v>117</v>
      </c>
      <c r="B18" s="21"/>
      <c r="C18" s="21"/>
      <c r="D18" s="21"/>
      <c r="E18" s="21"/>
      <c r="F18" s="21"/>
      <c r="G18" s="21"/>
      <c r="H18" s="22"/>
    </row>
  </sheetData>
  <mergeCells count="6">
    <mergeCell ref="A18:H18"/>
    <mergeCell ref="A15:H15"/>
    <mergeCell ref="A16:H16"/>
    <mergeCell ref="A14:H14"/>
    <mergeCell ref="A1:H1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4" width="18" customWidth="1"/>
  </cols>
  <sheetData>
    <row r="1" spans="1:4" ht="30" customHeight="1" x14ac:dyDescent="0.25">
      <c r="A1" s="18" t="s">
        <v>118</v>
      </c>
      <c r="B1" s="17"/>
      <c r="C1" s="17"/>
      <c r="D1" s="17"/>
    </row>
    <row r="3" spans="1:4" x14ac:dyDescent="0.25">
      <c r="A3" s="1" t="s">
        <v>87</v>
      </c>
      <c r="B3" s="1" t="s">
        <v>119</v>
      </c>
      <c r="C3" s="1" t="s">
        <v>120</v>
      </c>
      <c r="D3" s="1" t="s">
        <v>121</v>
      </c>
    </row>
    <row r="4" spans="1:4" x14ac:dyDescent="0.25">
      <c r="A4" s="4" t="s">
        <v>91</v>
      </c>
      <c r="B4" s="5">
        <v>748957.02</v>
      </c>
      <c r="C4" s="4"/>
      <c r="D4" s="4"/>
    </row>
    <row r="5" spans="1:4" x14ac:dyDescent="0.25">
      <c r="A5" s="4" t="s">
        <v>122</v>
      </c>
      <c r="B5" s="5">
        <v>560000.26</v>
      </c>
      <c r="C5" s="5">
        <f t="shared" ref="C5:C16" si="0">B5-B4</f>
        <v>-188956.76</v>
      </c>
      <c r="D5" s="11">
        <f t="shared" ref="D5:D16" si="1">IFERROR(C5/B4,0)</f>
        <v>-0.25229319567630198</v>
      </c>
    </row>
    <row r="6" spans="1:4" x14ac:dyDescent="0.25">
      <c r="A6" s="4" t="s">
        <v>123</v>
      </c>
      <c r="B6" s="5">
        <v>498062.65</v>
      </c>
      <c r="C6" s="5">
        <f t="shared" si="0"/>
        <v>-61937.609999999986</v>
      </c>
      <c r="D6" s="11">
        <f t="shared" si="1"/>
        <v>-0.11060282364868899</v>
      </c>
    </row>
    <row r="7" spans="1:4" x14ac:dyDescent="0.25">
      <c r="A7" s="4" t="s">
        <v>124</v>
      </c>
      <c r="B7" s="5">
        <v>683267.08</v>
      </c>
      <c r="C7" s="5">
        <f t="shared" si="0"/>
        <v>185204.42999999993</v>
      </c>
      <c r="D7" s="11">
        <f t="shared" si="1"/>
        <v>0.37184966590046437</v>
      </c>
    </row>
    <row r="8" spans="1:4" x14ac:dyDescent="0.25">
      <c r="A8" s="4" t="s">
        <v>125</v>
      </c>
      <c r="B8" s="5">
        <v>493207.12</v>
      </c>
      <c r="C8" s="5">
        <f t="shared" si="0"/>
        <v>-190059.95999999996</v>
      </c>
      <c r="D8" s="11">
        <f t="shared" si="1"/>
        <v>-0.27816349647637051</v>
      </c>
    </row>
    <row r="9" spans="1:4" x14ac:dyDescent="0.25">
      <c r="A9" s="4" t="s">
        <v>126</v>
      </c>
      <c r="B9" s="5">
        <v>723333.51</v>
      </c>
      <c r="C9" s="5">
        <f t="shared" si="0"/>
        <v>230126.39</v>
      </c>
      <c r="D9" s="11">
        <f t="shared" si="1"/>
        <v>0.46659178399533247</v>
      </c>
    </row>
    <row r="10" spans="1:4" x14ac:dyDescent="0.25">
      <c r="A10" s="4" t="s">
        <v>127</v>
      </c>
      <c r="B10" s="5">
        <v>691123.12</v>
      </c>
      <c r="C10" s="5">
        <f t="shared" si="0"/>
        <v>-32210.390000000014</v>
      </c>
      <c r="D10" s="11">
        <f t="shared" si="1"/>
        <v>-4.4530482211449063E-2</v>
      </c>
    </row>
    <row r="11" spans="1:4" x14ac:dyDescent="0.25">
      <c r="A11" s="4" t="s">
        <v>128</v>
      </c>
      <c r="B11" s="5">
        <v>681300.11</v>
      </c>
      <c r="C11" s="5">
        <f t="shared" si="0"/>
        <v>-9823.0100000000093</v>
      </c>
      <c r="D11" s="11">
        <f t="shared" si="1"/>
        <v>-1.4213111550949141E-2</v>
      </c>
    </row>
    <row r="12" spans="1:4" x14ac:dyDescent="0.25">
      <c r="A12" s="4" t="s">
        <v>129</v>
      </c>
      <c r="B12" s="5">
        <v>682680.51</v>
      </c>
      <c r="C12" s="5">
        <f t="shared" si="0"/>
        <v>1380.4000000000233</v>
      </c>
      <c r="D12" s="11">
        <f t="shared" si="1"/>
        <v>2.0261261956937351E-3</v>
      </c>
    </row>
    <row r="13" spans="1:4" x14ac:dyDescent="0.25">
      <c r="A13" s="4" t="s">
        <v>130</v>
      </c>
      <c r="B13" s="5">
        <v>1019687.62</v>
      </c>
      <c r="C13" s="5">
        <f t="shared" si="0"/>
        <v>337007.11</v>
      </c>
      <c r="D13" s="11">
        <f t="shared" si="1"/>
        <v>0.49365274834050848</v>
      </c>
    </row>
    <row r="14" spans="1:4" x14ac:dyDescent="0.25">
      <c r="A14" s="4" t="s">
        <v>131</v>
      </c>
      <c r="B14" s="5">
        <v>1070704.67</v>
      </c>
      <c r="C14" s="5">
        <f t="shared" si="0"/>
        <v>51017.04999999993</v>
      </c>
      <c r="D14" s="11">
        <f t="shared" si="1"/>
        <v>5.0032038243241525E-2</v>
      </c>
    </row>
    <row r="15" spans="1:4" x14ac:dyDescent="0.25">
      <c r="A15" s="4" t="s">
        <v>132</v>
      </c>
      <c r="B15" s="5">
        <v>1461756.25</v>
      </c>
      <c r="C15" s="5">
        <f t="shared" si="0"/>
        <v>391051.58000000007</v>
      </c>
      <c r="D15" s="11">
        <f t="shared" si="1"/>
        <v>0.36522823796033327</v>
      </c>
    </row>
    <row r="16" spans="1:4" x14ac:dyDescent="0.25">
      <c r="A16" s="4" t="s">
        <v>133</v>
      </c>
      <c r="B16" s="5">
        <v>433668.01</v>
      </c>
      <c r="C16" s="5">
        <f t="shared" si="0"/>
        <v>-1028088.24</v>
      </c>
      <c r="D16" s="11">
        <f t="shared" si="1"/>
        <v>-0.70332399126051282</v>
      </c>
    </row>
    <row r="18" spans="1:4" x14ac:dyDescent="0.25">
      <c r="A18" s="24" t="s">
        <v>134</v>
      </c>
      <c r="B18" s="17"/>
      <c r="C18" s="17"/>
      <c r="D18" s="17"/>
    </row>
    <row r="19" spans="1:4" x14ac:dyDescent="0.25">
      <c r="A19" s="20" t="s">
        <v>135</v>
      </c>
      <c r="B19" s="21"/>
      <c r="C19" s="21"/>
      <c r="D19" s="22"/>
    </row>
    <row r="20" spans="1:4" x14ac:dyDescent="0.25">
      <c r="A20" s="20" t="s">
        <v>136</v>
      </c>
      <c r="B20" s="21"/>
      <c r="C20" s="21"/>
      <c r="D20" s="22"/>
    </row>
    <row r="21" spans="1:4" x14ac:dyDescent="0.25">
      <c r="A21" s="20" t="s">
        <v>137</v>
      </c>
      <c r="B21" s="21"/>
      <c r="C21" s="21"/>
      <c r="D21" s="22"/>
    </row>
  </sheetData>
  <mergeCells count="5">
    <mergeCell ref="A1:D1"/>
    <mergeCell ref="A18:D18"/>
    <mergeCell ref="A20:D20"/>
    <mergeCell ref="A21:D21"/>
    <mergeCell ref="A19:D19"/>
  </mergeCells>
  <conditionalFormatting sqref="D5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9" customWidth="1"/>
    <col min="2" max="2" width="13" customWidth="1"/>
    <col min="3" max="3" width="46" customWidth="1"/>
    <col min="4" max="4" width="18" customWidth="1"/>
  </cols>
  <sheetData>
    <row r="1" spans="1:4" ht="30" customHeight="1" x14ac:dyDescent="0.25">
      <c r="A1" s="18" t="s">
        <v>138</v>
      </c>
      <c r="B1" s="17"/>
      <c r="C1" s="17"/>
      <c r="D1" s="17"/>
    </row>
    <row r="3" spans="1:4" x14ac:dyDescent="0.25">
      <c r="A3" s="1" t="s">
        <v>139</v>
      </c>
      <c r="B3" s="1" t="s">
        <v>3</v>
      </c>
      <c r="C3" s="1" t="s">
        <v>140</v>
      </c>
      <c r="D3" s="1" t="s">
        <v>119</v>
      </c>
    </row>
    <row r="4" spans="1:4" x14ac:dyDescent="0.25">
      <c r="A4" s="4">
        <v>1</v>
      </c>
      <c r="B4" s="4" t="s">
        <v>141</v>
      </c>
      <c r="C4" s="8" t="s">
        <v>142</v>
      </c>
      <c r="D4" s="5">
        <v>206245.48</v>
      </c>
    </row>
    <row r="5" spans="1:4" x14ac:dyDescent="0.25">
      <c r="A5" s="4">
        <v>2</v>
      </c>
      <c r="B5" s="4" t="s">
        <v>143</v>
      </c>
      <c r="C5" s="8" t="s">
        <v>144</v>
      </c>
      <c r="D5" s="5">
        <v>164762.19</v>
      </c>
    </row>
    <row r="6" spans="1:4" x14ac:dyDescent="0.25">
      <c r="A6" s="4">
        <v>3</v>
      </c>
      <c r="B6" s="4" t="s">
        <v>145</v>
      </c>
      <c r="C6" s="8" t="s">
        <v>146</v>
      </c>
      <c r="D6" s="5">
        <v>98302.98</v>
      </c>
    </row>
    <row r="7" spans="1:4" x14ac:dyDescent="0.25">
      <c r="A7" s="4">
        <v>4</v>
      </c>
      <c r="B7" s="4" t="s">
        <v>11</v>
      </c>
      <c r="C7" s="8" t="s">
        <v>12</v>
      </c>
      <c r="D7" s="5">
        <v>97715.99</v>
      </c>
    </row>
    <row r="8" spans="1:4" x14ac:dyDescent="0.25">
      <c r="A8" s="4">
        <v>5</v>
      </c>
      <c r="B8" s="4" t="s">
        <v>147</v>
      </c>
      <c r="C8" s="8" t="s">
        <v>148</v>
      </c>
      <c r="D8" s="5">
        <v>92356.03</v>
      </c>
    </row>
    <row r="9" spans="1:4" x14ac:dyDescent="0.25">
      <c r="A9" s="4">
        <v>6</v>
      </c>
      <c r="B9" s="4" t="s">
        <v>149</v>
      </c>
      <c r="C9" s="8" t="s">
        <v>150</v>
      </c>
      <c r="D9" s="5">
        <v>66756.59</v>
      </c>
    </row>
    <row r="10" spans="1:4" x14ac:dyDescent="0.25">
      <c r="A10" s="4">
        <v>7</v>
      </c>
      <c r="B10" s="4" t="s">
        <v>151</v>
      </c>
      <c r="C10" s="8" t="s">
        <v>152</v>
      </c>
      <c r="D10" s="5">
        <v>66230.64</v>
      </c>
    </row>
    <row r="11" spans="1:4" x14ac:dyDescent="0.25">
      <c r="A11" s="4">
        <v>8</v>
      </c>
      <c r="B11" s="4" t="s">
        <v>153</v>
      </c>
      <c r="C11" s="8" t="s">
        <v>154</v>
      </c>
      <c r="D11" s="5">
        <v>63791.94</v>
      </c>
    </row>
    <row r="12" spans="1:4" x14ac:dyDescent="0.25">
      <c r="A12" s="4">
        <v>9</v>
      </c>
      <c r="B12" s="4" t="s">
        <v>35</v>
      </c>
      <c r="C12" s="8" t="s">
        <v>36</v>
      </c>
      <c r="D12" s="5">
        <v>58959.73</v>
      </c>
    </row>
    <row r="13" spans="1:4" x14ac:dyDescent="0.25">
      <c r="A13" s="4">
        <v>10</v>
      </c>
      <c r="B13" s="4" t="s">
        <v>155</v>
      </c>
      <c r="C13" s="8" t="s">
        <v>156</v>
      </c>
      <c r="D13" s="5">
        <v>53768.06</v>
      </c>
    </row>
    <row r="16" spans="1:4" x14ac:dyDescent="0.25">
      <c r="A16" s="23" t="s">
        <v>134</v>
      </c>
      <c r="B16" s="17"/>
      <c r="C16" s="17"/>
      <c r="D16" s="17"/>
    </row>
    <row r="17" spans="1:4" x14ac:dyDescent="0.25">
      <c r="A17" s="20" t="s">
        <v>157</v>
      </c>
      <c r="B17" s="21"/>
      <c r="C17" s="21"/>
      <c r="D17" s="22"/>
    </row>
    <row r="18" spans="1:4" x14ac:dyDescent="0.25">
      <c r="A18" s="20" t="s">
        <v>158</v>
      </c>
      <c r="B18" s="21"/>
      <c r="C18" s="21"/>
      <c r="D18" s="22"/>
    </row>
    <row r="19" spans="1:4" x14ac:dyDescent="0.25">
      <c r="A19" s="20" t="s">
        <v>159</v>
      </c>
      <c r="B19" s="21"/>
      <c r="C19" s="21"/>
      <c r="D19" s="22"/>
    </row>
  </sheetData>
  <mergeCells count="5">
    <mergeCell ref="A1:D1"/>
    <mergeCell ref="A17:D17"/>
    <mergeCell ref="A18:D18"/>
    <mergeCell ref="A19:D19"/>
    <mergeCell ref="A16:D16"/>
  </mergeCells>
  <conditionalFormatting sqref="D4:D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9" customWidth="1"/>
    <col min="2" max="2" width="25" customWidth="1"/>
    <col min="3" max="3" width="18" customWidth="1"/>
  </cols>
  <sheetData>
    <row r="1" spans="1:3" ht="30" customHeight="1" x14ac:dyDescent="0.25">
      <c r="A1" s="18" t="s">
        <v>160</v>
      </c>
      <c r="B1" s="17"/>
      <c r="C1" s="17"/>
    </row>
    <row r="3" spans="1:3" x14ac:dyDescent="0.25">
      <c r="A3" s="1" t="s">
        <v>139</v>
      </c>
      <c r="B3" s="1" t="s">
        <v>9</v>
      </c>
      <c r="C3" s="1" t="s">
        <v>119</v>
      </c>
    </row>
    <row r="4" spans="1:3" x14ac:dyDescent="0.25">
      <c r="A4" s="4">
        <v>1</v>
      </c>
      <c r="B4" s="4" t="s">
        <v>15</v>
      </c>
      <c r="C4" s="5">
        <v>8187806.3600000003</v>
      </c>
    </row>
    <row r="5" spans="1:3" x14ac:dyDescent="0.25">
      <c r="A5" s="4">
        <v>2</v>
      </c>
      <c r="B5" s="4" t="s">
        <v>161</v>
      </c>
      <c r="C5" s="5">
        <v>284661.53999999998</v>
      </c>
    </row>
    <row r="6" spans="1:3" x14ac:dyDescent="0.25">
      <c r="A6" s="4">
        <v>3</v>
      </c>
      <c r="B6" s="4" t="s">
        <v>162</v>
      </c>
      <c r="C6" s="5">
        <v>263276.82</v>
      </c>
    </row>
    <row r="7" spans="1:3" x14ac:dyDescent="0.25">
      <c r="A7" s="4">
        <v>4</v>
      </c>
      <c r="B7" s="4" t="s">
        <v>163</v>
      </c>
      <c r="C7" s="5">
        <v>221698.21</v>
      </c>
    </row>
    <row r="8" spans="1:3" x14ac:dyDescent="0.25">
      <c r="A8" s="4">
        <v>5</v>
      </c>
      <c r="B8" s="4" t="s">
        <v>79</v>
      </c>
      <c r="C8" s="5">
        <v>197403.9</v>
      </c>
    </row>
    <row r="9" spans="1:3" x14ac:dyDescent="0.25">
      <c r="A9" s="4">
        <v>6</v>
      </c>
      <c r="B9" s="4" t="s">
        <v>164</v>
      </c>
      <c r="C9" s="5">
        <v>137077.26999999999</v>
      </c>
    </row>
    <row r="10" spans="1:3" x14ac:dyDescent="0.25">
      <c r="A10" s="4">
        <v>7</v>
      </c>
      <c r="B10" s="4" t="s">
        <v>165</v>
      </c>
      <c r="C10" s="5">
        <v>56385.35</v>
      </c>
    </row>
    <row r="11" spans="1:3" x14ac:dyDescent="0.25">
      <c r="A11" s="4">
        <v>8</v>
      </c>
      <c r="B11" s="4" t="s">
        <v>166</v>
      </c>
      <c r="C11" s="5">
        <v>54774.58</v>
      </c>
    </row>
    <row r="12" spans="1:3" x14ac:dyDescent="0.25">
      <c r="A12" s="4">
        <v>9</v>
      </c>
      <c r="B12" s="4" t="s">
        <v>167</v>
      </c>
      <c r="C12" s="5">
        <v>40910.959999999999</v>
      </c>
    </row>
    <row r="13" spans="1:3" x14ac:dyDescent="0.25">
      <c r="A13" s="4">
        <v>10</v>
      </c>
      <c r="B13" s="4" t="s">
        <v>168</v>
      </c>
      <c r="C13" s="5">
        <v>36595.910000000003</v>
      </c>
    </row>
    <row r="16" spans="1:3" x14ac:dyDescent="0.25">
      <c r="A16" s="24" t="s">
        <v>134</v>
      </c>
      <c r="B16" s="17"/>
      <c r="C16" s="17"/>
    </row>
    <row r="17" spans="1:3" x14ac:dyDescent="0.25">
      <c r="A17" s="20" t="s">
        <v>169</v>
      </c>
      <c r="B17" s="21"/>
      <c r="C17" s="22"/>
    </row>
    <row r="18" spans="1:3" x14ac:dyDescent="0.25">
      <c r="A18" s="20" t="s">
        <v>170</v>
      </c>
      <c r="B18" s="21"/>
      <c r="C18" s="22"/>
    </row>
    <row r="19" spans="1:3" x14ac:dyDescent="0.25">
      <c r="A19" s="20" t="s">
        <v>171</v>
      </c>
      <c r="B19" s="21"/>
      <c r="C19" s="22"/>
    </row>
  </sheetData>
  <mergeCells count="5">
    <mergeCell ref="A19:C19"/>
    <mergeCell ref="A1:C1"/>
    <mergeCell ref="A17:C17"/>
    <mergeCell ref="A18:C18"/>
    <mergeCell ref="A16:C16"/>
  </mergeCells>
  <conditionalFormatting sqref="C4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  <col min="3" max="3" width="25" customWidth="1"/>
  </cols>
  <sheetData>
    <row r="1" spans="1:3" ht="30" customHeight="1" x14ac:dyDescent="0.25">
      <c r="A1" s="18" t="s">
        <v>172</v>
      </c>
      <c r="B1" s="17"/>
      <c r="C1" s="17"/>
    </row>
    <row r="3" spans="1:3" x14ac:dyDescent="0.25">
      <c r="A3" s="1" t="s">
        <v>173</v>
      </c>
      <c r="B3" s="1" t="s">
        <v>119</v>
      </c>
      <c r="C3" s="1" t="s">
        <v>174</v>
      </c>
    </row>
    <row r="4" spans="1:3" x14ac:dyDescent="0.25">
      <c r="A4" s="4" t="s">
        <v>175</v>
      </c>
      <c r="B4" s="5">
        <v>912905.23</v>
      </c>
      <c r="C4" s="11">
        <f>B4/SUM($B$4:$B$7)</f>
        <v>0.22006844877826032</v>
      </c>
    </row>
    <row r="5" spans="1:3" x14ac:dyDescent="0.25">
      <c r="A5" s="4" t="s">
        <v>176</v>
      </c>
      <c r="B5" s="5">
        <v>1091831.55</v>
      </c>
      <c r="C5" s="11">
        <f>B5/SUM($B$4:$B$7)</f>
        <v>0.26320111621626219</v>
      </c>
    </row>
    <row r="6" spans="1:3" x14ac:dyDescent="0.25">
      <c r="A6" s="4" t="s">
        <v>177</v>
      </c>
      <c r="B6" s="5">
        <v>1177377.8600000001</v>
      </c>
      <c r="C6" s="11">
        <f>B6/SUM($B$4:$B$7)</f>
        <v>0.28382323899718237</v>
      </c>
    </row>
    <row r="7" spans="1:3" x14ac:dyDescent="0.25">
      <c r="A7" s="4" t="s">
        <v>178</v>
      </c>
      <c r="B7" s="5">
        <v>966163.93</v>
      </c>
      <c r="C7" s="11">
        <f>B7/SUM($B$4:$B$7)</f>
        <v>0.23290719600829507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8" customWidth="1"/>
    <col min="2" max="3" width="32" customWidth="1"/>
    <col min="4" max="4" width="36" customWidth="1"/>
    <col min="5" max="5" width="42" customWidth="1"/>
    <col min="6" max="6" width="12" customWidth="1"/>
  </cols>
  <sheetData>
    <row r="1" spans="1:6" ht="30" customHeight="1" x14ac:dyDescent="0.25">
      <c r="A1" s="18" t="s">
        <v>230</v>
      </c>
      <c r="B1" s="17"/>
      <c r="C1" s="17"/>
      <c r="D1" s="17"/>
      <c r="E1" s="17"/>
      <c r="F1" s="17"/>
    </row>
    <row r="3" spans="1:6" x14ac:dyDescent="0.25">
      <c r="A3" s="1" t="s">
        <v>231</v>
      </c>
      <c r="B3" s="1" t="s">
        <v>232</v>
      </c>
      <c r="C3" s="1" t="s">
        <v>233</v>
      </c>
      <c r="D3" s="1" t="s">
        <v>234</v>
      </c>
      <c r="E3" s="1" t="s">
        <v>235</v>
      </c>
      <c r="F3" s="1" t="s">
        <v>236</v>
      </c>
    </row>
    <row r="4" spans="1:6" ht="30" x14ac:dyDescent="0.25">
      <c r="A4" s="3" t="s">
        <v>237</v>
      </c>
      <c r="B4" s="3" t="s">
        <v>238</v>
      </c>
      <c r="C4" s="3" t="s">
        <v>239</v>
      </c>
      <c r="D4" s="3" t="s">
        <v>240</v>
      </c>
      <c r="E4" s="3" t="s">
        <v>241</v>
      </c>
      <c r="F4" s="3" t="s">
        <v>242</v>
      </c>
    </row>
    <row r="5" spans="1:6" ht="30" x14ac:dyDescent="0.25">
      <c r="A5" s="3" t="s">
        <v>243</v>
      </c>
      <c r="B5" s="3" t="s">
        <v>244</v>
      </c>
      <c r="C5" s="3" t="s">
        <v>245</v>
      </c>
      <c r="D5" s="3" t="s">
        <v>246</v>
      </c>
      <c r="E5" s="3" t="s">
        <v>247</v>
      </c>
      <c r="F5" s="3" t="s">
        <v>242</v>
      </c>
    </row>
    <row r="6" spans="1:6" ht="30" x14ac:dyDescent="0.25">
      <c r="A6" s="3" t="s">
        <v>248</v>
      </c>
      <c r="B6" s="3" t="s">
        <v>249</v>
      </c>
      <c r="C6" s="3" t="s">
        <v>250</v>
      </c>
      <c r="D6" s="3" t="s">
        <v>251</v>
      </c>
      <c r="E6" s="3" t="s">
        <v>252</v>
      </c>
      <c r="F6" s="3" t="s">
        <v>242</v>
      </c>
    </row>
    <row r="7" spans="1:6" ht="30" x14ac:dyDescent="0.25">
      <c r="A7" s="3" t="s">
        <v>253</v>
      </c>
      <c r="B7" s="3" t="s">
        <v>254</v>
      </c>
      <c r="C7" s="3" t="s">
        <v>255</v>
      </c>
      <c r="D7" s="3" t="s">
        <v>256</v>
      </c>
      <c r="E7" s="3" t="s">
        <v>257</v>
      </c>
      <c r="F7" s="3" t="s">
        <v>258</v>
      </c>
    </row>
    <row r="8" spans="1:6" ht="30" x14ac:dyDescent="0.25">
      <c r="A8" s="3" t="s">
        <v>259</v>
      </c>
      <c r="B8" s="3" t="s">
        <v>260</v>
      </c>
      <c r="C8" s="3" t="s">
        <v>261</v>
      </c>
      <c r="D8" s="3" t="s">
        <v>262</v>
      </c>
      <c r="E8" s="3" t="s">
        <v>263</v>
      </c>
      <c r="F8" s="3" t="s">
        <v>242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6"/>
  <sheetViews>
    <sheetView showGridLines="0" tabSelected="1" workbookViewId="0">
      <pane ySplit="3" topLeftCell="A4" activePane="bottomLeft" state="frozen"/>
      <selection pane="bottomLeft" sqref="A1:L1"/>
    </sheetView>
  </sheetViews>
  <sheetFormatPr defaultRowHeight="15" x14ac:dyDescent="0.25"/>
  <cols>
    <col min="1" max="2" width="16" customWidth="1"/>
    <col min="3" max="3" width="4" customWidth="1"/>
    <col min="4" max="4" width="35" customWidth="1"/>
    <col min="5" max="5" width="17" customWidth="1"/>
    <col min="6" max="6" width="4" customWidth="1"/>
    <col min="7" max="7" width="24" customWidth="1"/>
    <col min="8" max="8" width="17" customWidth="1"/>
    <col min="9" max="12" width="12" customWidth="1"/>
  </cols>
  <sheetData>
    <row r="1" spans="1:12" ht="30" customHeight="1" x14ac:dyDescent="0.25">
      <c r="A1" s="18" t="s">
        <v>264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3" spans="1:12" x14ac:dyDescent="0.25">
      <c r="A3" s="25" t="s">
        <v>265</v>
      </c>
      <c r="B3" s="22"/>
      <c r="D3" s="25" t="s">
        <v>266</v>
      </c>
      <c r="E3" s="22"/>
      <c r="G3" s="25" t="s">
        <v>267</v>
      </c>
      <c r="H3" s="22"/>
      <c r="J3" s="25" t="s">
        <v>104</v>
      </c>
      <c r="K3" s="22"/>
    </row>
    <row r="4" spans="1:12" x14ac:dyDescent="0.25">
      <c r="A4" s="26">
        <v>9747747.9299999997</v>
      </c>
      <c r="B4" s="27"/>
      <c r="D4" s="30">
        <v>25900</v>
      </c>
      <c r="E4" s="27"/>
      <c r="G4" s="30">
        <v>4372</v>
      </c>
      <c r="H4" s="27"/>
      <c r="J4" s="30">
        <v>38</v>
      </c>
      <c r="K4" s="27"/>
    </row>
    <row r="5" spans="1:12" x14ac:dyDescent="0.25">
      <c r="A5" s="28"/>
      <c r="B5" s="29"/>
      <c r="D5" s="28"/>
      <c r="E5" s="29"/>
      <c r="G5" s="28"/>
      <c r="H5" s="29"/>
      <c r="J5" s="28"/>
      <c r="K5" s="29"/>
    </row>
    <row r="8" spans="1:12" x14ac:dyDescent="0.25">
      <c r="A8" s="12" t="s">
        <v>87</v>
      </c>
      <c r="B8" s="12" t="s">
        <v>119</v>
      </c>
      <c r="D8" s="12" t="s">
        <v>140</v>
      </c>
      <c r="E8" s="12" t="s">
        <v>119</v>
      </c>
      <c r="G8" s="12" t="s">
        <v>9</v>
      </c>
      <c r="H8" s="12" t="s">
        <v>119</v>
      </c>
    </row>
    <row r="9" spans="1:12" x14ac:dyDescent="0.25">
      <c r="A9" t="s">
        <v>91</v>
      </c>
      <c r="B9" s="13">
        <v>748957.02</v>
      </c>
      <c r="D9" t="s">
        <v>142</v>
      </c>
      <c r="E9" s="13">
        <v>206245.48</v>
      </c>
      <c r="G9" t="s">
        <v>15</v>
      </c>
      <c r="H9" s="13">
        <v>8187806.3600000003</v>
      </c>
    </row>
    <row r="10" spans="1:12" x14ac:dyDescent="0.25">
      <c r="A10" t="s">
        <v>122</v>
      </c>
      <c r="B10" s="13">
        <v>560000.26</v>
      </c>
      <c r="D10" t="s">
        <v>144</v>
      </c>
      <c r="E10" s="13">
        <v>164762.19</v>
      </c>
      <c r="G10" t="s">
        <v>161</v>
      </c>
      <c r="H10" s="13">
        <v>284661.53999999998</v>
      </c>
    </row>
    <row r="11" spans="1:12" x14ac:dyDescent="0.25">
      <c r="A11" t="s">
        <v>123</v>
      </c>
      <c r="B11" s="13">
        <v>498062.65</v>
      </c>
      <c r="D11" t="s">
        <v>146</v>
      </c>
      <c r="E11" s="13">
        <v>98302.98</v>
      </c>
      <c r="G11" t="s">
        <v>162</v>
      </c>
      <c r="H11" s="13">
        <v>263276.82</v>
      </c>
    </row>
    <row r="12" spans="1:12" x14ac:dyDescent="0.25">
      <c r="A12" t="s">
        <v>124</v>
      </c>
      <c r="B12" s="13">
        <v>683267.08</v>
      </c>
      <c r="D12" t="s">
        <v>12</v>
      </c>
      <c r="E12" s="13">
        <v>97715.99</v>
      </c>
      <c r="G12" t="s">
        <v>163</v>
      </c>
      <c r="H12" s="13">
        <v>221698.21</v>
      </c>
    </row>
    <row r="13" spans="1:12" x14ac:dyDescent="0.25">
      <c r="A13" t="s">
        <v>125</v>
      </c>
      <c r="B13" s="13">
        <v>493207.12</v>
      </c>
      <c r="D13" t="s">
        <v>148</v>
      </c>
      <c r="E13" s="13">
        <v>92356.03</v>
      </c>
      <c r="G13" t="s">
        <v>79</v>
      </c>
      <c r="H13" s="13">
        <v>197403.9</v>
      </c>
    </row>
    <row r="14" spans="1:12" x14ac:dyDescent="0.25">
      <c r="A14" t="s">
        <v>126</v>
      </c>
      <c r="B14" s="13">
        <v>723333.51</v>
      </c>
      <c r="D14" t="s">
        <v>150</v>
      </c>
      <c r="E14" s="13">
        <v>66756.59</v>
      </c>
      <c r="G14" t="s">
        <v>164</v>
      </c>
      <c r="H14" s="13">
        <v>137077.26999999999</v>
      </c>
    </row>
    <row r="15" spans="1:12" x14ac:dyDescent="0.25">
      <c r="A15" t="s">
        <v>127</v>
      </c>
      <c r="B15" s="13">
        <v>691123.12</v>
      </c>
      <c r="D15" t="s">
        <v>152</v>
      </c>
      <c r="E15" s="13">
        <v>66230.64</v>
      </c>
      <c r="G15" t="s">
        <v>165</v>
      </c>
      <c r="H15" s="13">
        <v>56385.35</v>
      </c>
    </row>
    <row r="16" spans="1:12" x14ac:dyDescent="0.25">
      <c r="A16" t="s">
        <v>128</v>
      </c>
      <c r="B16" s="13">
        <v>681300.11</v>
      </c>
    </row>
    <row r="17" spans="1:2" x14ac:dyDescent="0.25">
      <c r="A17" t="s">
        <v>129</v>
      </c>
      <c r="B17" s="13">
        <v>682680.51</v>
      </c>
    </row>
    <row r="18" spans="1:2" x14ac:dyDescent="0.25">
      <c r="A18" t="s">
        <v>130</v>
      </c>
      <c r="B18" s="13">
        <v>1019687.62</v>
      </c>
    </row>
    <row r="19" spans="1:2" x14ac:dyDescent="0.25">
      <c r="A19" t="s">
        <v>131</v>
      </c>
      <c r="B19" s="13">
        <v>1070704.67</v>
      </c>
    </row>
    <row r="20" spans="1:2" x14ac:dyDescent="0.25">
      <c r="A20" t="s">
        <v>132</v>
      </c>
      <c r="B20" s="13">
        <v>1461756.25</v>
      </c>
    </row>
    <row r="21" spans="1:2" x14ac:dyDescent="0.25">
      <c r="A21" t="s">
        <v>133</v>
      </c>
      <c r="B21" s="13">
        <v>433668.01</v>
      </c>
    </row>
    <row r="40" spans="7:12" x14ac:dyDescent="0.25">
      <c r="G40" s="31" t="s">
        <v>268</v>
      </c>
      <c r="H40" s="32"/>
      <c r="I40" s="32"/>
      <c r="J40" s="32"/>
      <c r="K40" s="32"/>
      <c r="L40" s="27"/>
    </row>
    <row r="41" spans="7:12" x14ac:dyDescent="0.25">
      <c r="G41" s="33"/>
      <c r="H41" s="17"/>
      <c r="I41" s="17"/>
      <c r="J41" s="17"/>
      <c r="K41" s="17"/>
      <c r="L41" s="34"/>
    </row>
    <row r="42" spans="7:12" x14ac:dyDescent="0.25">
      <c r="G42" s="33"/>
      <c r="H42" s="17"/>
      <c r="I42" s="17"/>
      <c r="J42" s="17"/>
      <c r="K42" s="17"/>
      <c r="L42" s="34"/>
    </row>
    <row r="43" spans="7:12" x14ac:dyDescent="0.25">
      <c r="G43" s="33"/>
      <c r="H43" s="17"/>
      <c r="I43" s="17"/>
      <c r="J43" s="17"/>
      <c r="K43" s="17"/>
      <c r="L43" s="34"/>
    </row>
    <row r="44" spans="7:12" x14ac:dyDescent="0.25">
      <c r="G44" s="33"/>
      <c r="H44" s="17"/>
      <c r="I44" s="17"/>
      <c r="J44" s="17"/>
      <c r="K44" s="17"/>
      <c r="L44" s="34"/>
    </row>
    <row r="45" spans="7:12" x14ac:dyDescent="0.25">
      <c r="G45" s="33"/>
      <c r="H45" s="17"/>
      <c r="I45" s="17"/>
      <c r="J45" s="17"/>
      <c r="K45" s="17"/>
      <c r="L45" s="34"/>
    </row>
    <row r="46" spans="7:12" x14ac:dyDescent="0.25">
      <c r="G46" s="28"/>
      <c r="H46" s="35"/>
      <c r="I46" s="35"/>
      <c r="J46" s="35"/>
      <c r="K46" s="35"/>
      <c r="L46" s="29"/>
    </row>
  </sheetData>
  <mergeCells count="10">
    <mergeCell ref="A1:L1"/>
    <mergeCell ref="G40:L46"/>
    <mergeCell ref="D3:E3"/>
    <mergeCell ref="A3:B3"/>
    <mergeCell ref="G3:H3"/>
    <mergeCell ref="J3:K3"/>
    <mergeCell ref="A4:B5"/>
    <mergeCell ref="G4:H5"/>
    <mergeCell ref="D4:E5"/>
    <mergeCell ref="J4:K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Cleaned_Data</vt:lpstr>
      <vt:lpstr>Cleaning_Log</vt:lpstr>
      <vt:lpstr>KPI_Summary</vt:lpstr>
      <vt:lpstr>Monthly_Trend</vt:lpstr>
      <vt:lpstr>Product_Analysis</vt:lpstr>
      <vt:lpstr>Country_Analysis</vt:lpstr>
      <vt:lpstr>Quarterly_Analysis</vt:lpstr>
      <vt:lpstr>Business_Insights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Ramakrishna kurapati</cp:lastModifiedBy>
  <dcterms:created xsi:type="dcterms:W3CDTF">2026-09-01T17:31:16Z</dcterms:created>
  <dcterms:modified xsi:type="dcterms:W3CDTF">2026-09-01T17:39:29Z</dcterms:modified>
</cp:coreProperties>
</file>